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otball Field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FCF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WACC" sheetId="10" state="visible" r:id="rId10"/>
    <sheet xmlns:r="http://schemas.openxmlformats.org/officeDocument/2006/relationships" name="Historical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"/>
    <numFmt numFmtId="165" formatCode="0.0%;(0.0%)"/>
    <numFmt numFmtId="166" formatCode="#,##0.0;(#,##0.0)"/>
    <numFmt numFmtId="167" formatCode="#,##0.00;(#,##0.00)"/>
    <numFmt numFmtId="168" formatCode="0.00%;(0.00%)"/>
    <numFmt numFmtId="169" formatCode="0.0&quot;x&quot;"/>
    <numFmt numFmtId="170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0000FF"/>
      <sz val="10"/>
    </font>
    <font>
      <name val="Calibri"/>
      <i val="1"/>
      <color rgb="00808080"/>
      <sz val="9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1F3864"/>
      <sz val="20"/>
    </font>
    <font>
      <name val="Calibri"/>
      <i val="1"/>
      <color rgb="00595959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49" fontId="7" fillId="0" borderId="0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4" fillId="0" borderId="0" pivotButton="0" quotePrefix="0" xfId="0"/>
    <xf numFmtId="167" fontId="8" fillId="4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49" fontId="8" fillId="4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49" fontId="7" fillId="0" borderId="0" applyAlignment="1" pivotButton="0" quotePrefix="0" xfId="0">
      <alignment horizontal="left" vertical="center"/>
    </xf>
    <xf numFmtId="0" fontId="5" fillId="3" borderId="1" pivotButton="0" quotePrefix="0" xfId="0"/>
    <xf numFmtId="0" fontId="8" fillId="0" borderId="0" pivotButton="0" quotePrefix="0" xfId="0"/>
    <xf numFmtId="0" fontId="4" fillId="4" borderId="1" pivotButton="0" quotePrefix="0" xfId="0"/>
    <xf numFmtId="49" fontId="6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49" fontId="7" fillId="4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168" fontId="3" fillId="2" borderId="0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9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9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167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49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Vestas - implied value per share (DKK)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Field'!B4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'Football Field'!$A$5:$A$10</f>
            </numRef>
          </cat>
          <val>
            <numRef>
              <f>'Football Field'!$B$5:$B$10</f>
            </numRef>
          </val>
        </ser>
        <ser>
          <idx val="1"/>
          <order val="1"/>
          <tx>
            <strRef>
              <f>'Football Field'!C4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'Football Field'!$A$5:$A$10</f>
            </numRef>
          </cat>
          <val>
            <numRef>
              <f>'Football Field'!$C$5:$C$10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DKK per share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bridge: Power Solutions vs Service (EUR 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'Assumptions'!A13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'Assumptions'!$B$4:$G$4</f>
            </numRef>
          </cat>
          <val>
            <numRef>
              <f>'Assumptions'!$B$13:$G$13</f>
            </numRef>
          </val>
        </ser>
        <ser>
          <idx val="1"/>
          <order val="1"/>
          <tx>
            <strRef>
              <f>'Assumptions'!A14</f>
            </strRef>
          </tx>
          <spPr>
            <a:ln xmlns:a="http://schemas.openxmlformats.org/drawingml/2006/main">
              <a:prstDash val="solid"/>
            </a:ln>
          </spPr>
          <cat>
            <numRef>
              <f>'Assumptions'!$B$4:$G$4</f>
            </numRef>
          </cat>
          <val>
            <numRef>
              <f>'Assumptions'!$B$14:$G$14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Unlevered free cash flow (EUR 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'FCF'!A13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'FCF'!$B$4:$G$4</f>
            </numRef>
          </cat>
          <val>
            <numRef>
              <f>'FCF'!$B$13:$G$13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(EUR m) and EBIT margin, 2021A-2025A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'Historical'!A7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'Historical'!$B$4:$F$4</f>
            </numRef>
          </cat>
          <val>
            <numRef>
              <f>'Historical'!$B$7:$F$7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'Historical'!A17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'Historical'!$B$17:$F$17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45"/>
  <sheetViews>
    <sheetView showGridLines="0" zoomScale="100"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4" customWidth="1" min="3" max="3"/>
    <col width="74" customWidth="1" min="4" max="4"/>
  </cols>
  <sheetData>
    <row r="1" ht="26" customHeight="1">
      <c r="A1" s="1" t="inlineStr">
        <is>
          <t>VESTAS WIND SYSTEMS A/S</t>
        </is>
      </c>
    </row>
    <row r="2">
      <c r="A2" s="2" t="inlineStr">
        <is>
          <t>Discounted Cash Flow Valuation  &amp;  Investment Case</t>
        </is>
      </c>
    </row>
    <row r="3">
      <c r="A3" s="3" t="inlineStr">
        <is>
          <t>Prepared by Nicolo Di Lena  |  Valuation date: 21 August 2026  |  EUR million unless stated</t>
        </is>
      </c>
    </row>
    <row r="5" ht="16" customHeight="1">
      <c r="A5" s="4" t="inlineStr">
        <is>
          <t>COMPANY SNAPSHOT</t>
        </is>
      </c>
      <c r="B5" s="4" t="n"/>
      <c r="C5" s="4" t="n"/>
      <c r="D5" s="4" t="n"/>
    </row>
    <row r="6">
      <c r="A6" s="5" t="inlineStr">
        <is>
          <t>Ticker / exchange</t>
        </is>
      </c>
      <c r="B6" s="6" t="inlineStr">
        <is>
          <t>VWS / Nasdaq Copenhagen</t>
        </is>
      </c>
    </row>
    <row r="7">
      <c r="A7" s="5" t="inlineStr">
        <is>
          <t>Bloomberg</t>
        </is>
      </c>
      <c r="B7" s="6" t="inlineStr">
        <is>
          <t>VWS DC Equity</t>
        </is>
      </c>
    </row>
    <row r="8">
      <c r="A8" s="5" t="inlineStr">
        <is>
          <t>Sector</t>
        </is>
      </c>
      <c r="B8" s="6" t="inlineStr">
        <is>
          <t>Wind turbine OEM and long-term service</t>
        </is>
      </c>
    </row>
    <row r="9">
      <c r="A9" s="5" t="inlineStr">
        <is>
          <t>Reporting currency / listing currency</t>
        </is>
      </c>
      <c r="B9" s="6" t="inlineStr">
        <is>
          <t>EUR / DKK</t>
        </is>
      </c>
    </row>
    <row r="10">
      <c r="A10" s="5" t="inlineStr">
        <is>
          <t>Fiscal year end</t>
        </is>
      </c>
      <c r="B10" s="6" t="inlineStr">
        <is>
          <t>31 December</t>
        </is>
      </c>
    </row>
    <row r="11">
      <c r="A11" s="5" t="inlineStr">
        <is>
          <t>FY2025 revenue / combined order backlog</t>
        </is>
      </c>
      <c r="B11" s="6" t="inlineStr">
        <is>
          <t>EUR 18.8bn / EUR 71.9bn</t>
        </is>
      </c>
    </row>
    <row r="13" ht="16" customHeight="1">
      <c r="A13" s="4" t="inlineStr">
        <is>
          <t>VALUATION SUMMARY  (live - updates with the model)</t>
        </is>
      </c>
      <c r="B13" s="4" t="n"/>
      <c r="C13" s="4" t="n"/>
      <c r="D13" s="4" t="n"/>
    </row>
    <row r="14">
      <c r="A14" s="5" t="inlineStr">
        <is>
          <t>Enterprise value (EUR m)</t>
        </is>
      </c>
      <c r="B14" s="7">
        <f>DCF!H31</f>
        <v/>
      </c>
    </row>
    <row r="15">
      <c r="A15" s="5" t="inlineStr">
        <is>
          <t>Equity value (EUR m)</t>
        </is>
      </c>
      <c r="B15" s="7">
        <f>DCF!H34</f>
        <v/>
      </c>
    </row>
    <row r="16">
      <c r="A16" s="8" t="inlineStr">
        <is>
          <t>Implied value per share, DKK  -  Gordon growth</t>
        </is>
      </c>
      <c r="B16" s="9">
        <f>DCF!H37</f>
        <v/>
      </c>
    </row>
    <row r="17">
      <c r="A17" s="8" t="inlineStr">
        <is>
          <t>Implied value per share, DKK  -  exit EV/EBITDA</t>
        </is>
      </c>
      <c r="B17" s="9">
        <f>DCF!H50</f>
        <v/>
      </c>
    </row>
    <row r="18">
      <c r="A18" s="5" t="inlineStr">
        <is>
          <t>Current share price (DKK)</t>
        </is>
      </c>
      <c r="B18" s="10">
        <f>DCF!$B$12</f>
        <v/>
      </c>
    </row>
    <row r="19">
      <c r="A19" s="8" t="inlineStr">
        <is>
          <t>Upside / (downside)  -  Gordon growth</t>
        </is>
      </c>
      <c r="B19" s="11">
        <f>DCF!H39</f>
        <v/>
      </c>
    </row>
    <row r="20">
      <c r="A20" s="8" t="inlineStr">
        <is>
          <t>RECOMMENDATION</t>
        </is>
      </c>
      <c r="B20" s="12">
        <f>'Football Field'!B15</f>
        <v/>
      </c>
    </row>
    <row r="21">
      <c r="A21" s="5" t="inlineStr">
        <is>
          <t>WACC</t>
        </is>
      </c>
      <c r="B21" s="13">
        <f>DCF!$B$5</f>
        <v/>
      </c>
    </row>
    <row r="22">
      <c r="A22" s="5" t="inlineStr">
        <is>
          <t>Terminal growth rate</t>
        </is>
      </c>
      <c r="B22" s="13">
        <f>DCF!$B$6</f>
        <v/>
      </c>
    </row>
    <row r="23">
      <c r="A23" s="5" t="inlineStr">
        <is>
          <t>Terminal value as % of enterprise value</t>
        </is>
      </c>
      <c r="B23" s="14">
        <f>DCF!H32</f>
        <v/>
      </c>
    </row>
    <row r="24">
      <c r="A24" s="5" t="inlineStr">
        <is>
          <t>Reverse DCF: perpetuity growth the market is pricing</t>
        </is>
      </c>
      <c r="B24" s="13">
        <f>DCF!H64</f>
        <v/>
      </c>
      <c r="D24" s="3" t="inlineStr">
        <is>
          <t>If this is far above your g, the market disagrees with you - explain why.</t>
        </is>
      </c>
    </row>
    <row r="26" ht="16" customHeight="1">
      <c r="A26" s="4" t="inlineStr">
        <is>
          <t>HOW THIS WORKBOOK IS BUILT  (read the tabs in this order)</t>
        </is>
      </c>
      <c r="B26" s="4" t="n"/>
      <c r="C26" s="4" t="n"/>
      <c r="D26" s="4" t="n"/>
    </row>
    <row r="27">
      <c r="A27" s="8" t="inlineStr">
        <is>
          <t>Football Field</t>
        </is>
      </c>
      <c r="B27" s="15" t="inlineStr">
        <is>
          <t>One-page valuation range and the recommendation rule.</t>
        </is>
      </c>
    </row>
    <row r="28">
      <c r="A28" s="8" t="inlineStr">
        <is>
          <t>DCF</t>
        </is>
      </c>
      <c r="B28" s="15" t="inlineStr">
        <is>
          <t>Discounting, two terminal value methods, EV-to-equity bridge, reverse DCF.</t>
        </is>
      </c>
    </row>
    <row r="29">
      <c r="A29" s="8" t="inlineStr">
        <is>
          <t>Sensitivity</t>
        </is>
      </c>
      <c r="B29" s="15" t="inlineStr">
        <is>
          <t>Four grids. WACC x g, upside/downside, WACC x exit multiple, execution risk.</t>
        </is>
      </c>
    </row>
    <row r="30">
      <c r="A30" s="8" t="inlineStr">
        <is>
          <t>Scenarios</t>
        </is>
      </c>
      <c r="B30" s="15" t="inlineStr">
        <is>
          <t>Three live parallel models: bear, base, bull.</t>
        </is>
      </c>
    </row>
    <row r="31">
      <c r="A31" s="8" t="inlineStr">
        <is>
          <t>Comps</t>
        </is>
      </c>
      <c r="B31" s="15" t="inlineStr">
        <is>
          <t>Trading comparables and the implied multiple valuation.</t>
        </is>
      </c>
    </row>
    <row r="32">
      <c r="A32" s="8" t="inlineStr">
        <is>
          <t>P&amp;L</t>
        </is>
      </c>
      <c r="B32" s="15" t="inlineStr">
        <is>
          <t>Forecast income statement. Pure formulas.</t>
        </is>
      </c>
    </row>
    <row r="33">
      <c r="A33" s="8" t="inlineStr">
        <is>
          <t>FCF</t>
        </is>
      </c>
      <c r="B33" s="15" t="inlineStr">
        <is>
          <t>Unlevered free cash flow bridge plus cash quality checks.</t>
        </is>
      </c>
    </row>
    <row r="34">
      <c r="A34" s="8" t="inlineStr">
        <is>
          <t>Assumptions</t>
        </is>
      </c>
      <c r="B34" s="15" t="inlineStr">
        <is>
          <t>Every driver you control, plus the scenario engine.</t>
        </is>
      </c>
    </row>
    <row r="35">
      <c r="A35" s="8" t="inlineStr">
        <is>
          <t>WACC</t>
        </is>
      </c>
      <c r="B35" s="15" t="inlineStr">
        <is>
          <t>Full CAPM build-up with dated, sourced inputs.</t>
        </is>
      </c>
    </row>
    <row r="36">
      <c r="A36" s="8" t="inlineStr">
        <is>
          <t>Historical</t>
        </is>
      </c>
      <c r="B36" s="15" t="inlineStr">
        <is>
          <t>Four to five years of reported actuals with sources.</t>
        </is>
      </c>
    </row>
    <row r="37">
      <c r="A37" s="8" t="inlineStr">
        <is>
          <t>Checks</t>
        </is>
      </c>
      <c r="B37" s="15" t="inlineStr">
        <is>
          <t>Twelve integrity tests. Open this before you show anyone anything.</t>
        </is>
      </c>
    </row>
    <row r="39" ht="16" customHeight="1">
      <c r="A39" s="4" t="inlineStr">
        <is>
          <t>FORMATTING CONVENTION  (this is how banks read a model)</t>
        </is>
      </c>
      <c r="B39" s="4" t="n"/>
      <c r="C39" s="4" t="n"/>
      <c r="D39" s="4" t="n"/>
    </row>
    <row r="40">
      <c r="A40" s="16" t="inlineStr">
        <is>
          <t>Hardcoded input</t>
        </is>
      </c>
      <c r="B40" s="15" t="inlineStr">
        <is>
          <t>Blue font, orange fill. You may change these.</t>
        </is>
      </c>
    </row>
    <row r="41">
      <c r="A41" s="5" t="inlineStr">
        <is>
          <t>Formula on this sheet</t>
        </is>
      </c>
      <c r="B41" s="15" t="inlineStr">
        <is>
          <t>Black font. Never type over it.</t>
        </is>
      </c>
    </row>
    <row r="42">
      <c r="A42" s="17" t="inlineStr">
        <is>
          <t>Link to another sheet</t>
        </is>
      </c>
      <c r="B42" s="15" t="inlineStr">
        <is>
          <t>Green font. Never type over it.</t>
        </is>
      </c>
    </row>
    <row r="43">
      <c r="A43" s="18" t="inlineStr">
        <is>
          <t>Output / result</t>
        </is>
      </c>
      <c r="B43" s="15" t="inlineStr">
        <is>
          <t>Light blue fill.</t>
        </is>
      </c>
    </row>
    <row r="45">
      <c r="A45" s="8" t="inlineStr">
        <is>
          <t>Version note</t>
        </is>
      </c>
      <c r="B45" s="19" t="inlineStr">
        <is>
          <t>v2.0 - rebuilt 21-Aug-2026. v1 is preserved in the _archive folder. See the review document for every change and why.</t>
        </is>
      </c>
    </row>
  </sheetData>
  <mergeCells count="12">
    <mergeCell ref="B33:D33"/>
    <mergeCell ref="B28:D28"/>
    <mergeCell ref="B36:D36"/>
    <mergeCell ref="B37:D37"/>
    <mergeCell ref="B31:D31"/>
    <mergeCell ref="B45:D45"/>
    <mergeCell ref="B32:D32"/>
    <mergeCell ref="B35:D35"/>
    <mergeCell ref="B27:D27"/>
    <mergeCell ref="B30:D30"/>
    <mergeCell ref="B29:D29"/>
    <mergeCell ref="B34:D3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4" customWidth="1" min="6" max="6"/>
    <col width="60" customWidth="1" min="7" max="7"/>
  </cols>
  <sheetData>
    <row r="1" ht="20" customHeight="1">
      <c r="A1" s="20" t="inlineStr">
        <is>
          <t>VALUATION SUMMARY  —  FOOTBALL FIELD</t>
        </is>
      </c>
    </row>
    <row r="2">
      <c r="A2" s="21" t="inlineStr">
        <is>
          <t>Ranges in DKK per share. This chart is the first page of any real investment memo.</t>
        </is>
      </c>
    </row>
    <row r="4">
      <c r="A4" s="22" t="inlineStr">
        <is>
          <t>Methodology</t>
        </is>
      </c>
      <c r="B4" s="23" t="inlineStr">
        <is>
          <t>Low</t>
        </is>
      </c>
      <c r="C4" s="23" t="inlineStr">
        <is>
          <t>Span (low-&gt;high)</t>
        </is>
      </c>
      <c r="D4" s="23" t="inlineStr">
        <is>
          <t>High</t>
        </is>
      </c>
      <c r="E4" s="23" t="inlineStr">
        <is>
          <t>Midpoint</t>
        </is>
      </c>
    </row>
    <row r="5">
      <c r="A5" s="5" t="inlineStr">
        <is>
          <t>DCF - Gordon growth (WACC +/-75bp, g +/-75bp)</t>
        </is>
      </c>
      <c r="B5" s="24">
        <f>MIN(Sensitivity!C8:I14)</f>
        <v/>
      </c>
      <c r="C5" s="24">
        <f>D5-B5</f>
        <v/>
      </c>
      <c r="D5" s="24">
        <f>MAX(Sensitivity!C8:I14)</f>
        <v/>
      </c>
      <c r="E5" s="24">
        <f>(B5+D5)/2</f>
        <v/>
      </c>
    </row>
    <row r="6">
      <c r="A6" s="5" t="inlineStr">
        <is>
          <t>DCF - exit EV/EBITDA (8.5x-11.5x)</t>
        </is>
      </c>
      <c r="B6" s="24">
        <f>MIN(Sensitivity!C28:I34)</f>
        <v/>
      </c>
      <c r="C6" s="24">
        <f>D6-B6</f>
        <v/>
      </c>
      <c r="D6" s="24">
        <f>MAX(Sensitivity!C28:I34)</f>
        <v/>
      </c>
      <c r="E6" s="24">
        <f>(B6+D6)/2</f>
        <v/>
      </c>
    </row>
    <row r="7">
      <c r="A7" s="5" t="inlineStr">
        <is>
          <t>Trading comps - EV/EBITDA (8.5x-11.5x)</t>
        </is>
      </c>
      <c r="B7" s="24">
        <f>Comps!B20</f>
        <v/>
      </c>
      <c r="C7" s="24">
        <f>D7-B7</f>
        <v/>
      </c>
      <c r="D7" s="24">
        <f>Comps!D20</f>
        <v/>
      </c>
      <c r="E7" s="24">
        <f>(B7+D7)/2</f>
        <v/>
      </c>
    </row>
    <row r="8">
      <c r="A8" s="5" t="inlineStr">
        <is>
          <t>Trading comps - EV/Revenue (0.95x-1.45x)</t>
        </is>
      </c>
      <c r="B8" s="24">
        <f>Comps!B30</f>
        <v/>
      </c>
      <c r="C8" s="24">
        <f>D8-B8</f>
        <v/>
      </c>
      <c r="D8" s="24">
        <f>Comps!D30</f>
        <v/>
      </c>
      <c r="E8" s="24">
        <f>(B8+D8)/2</f>
        <v/>
      </c>
    </row>
    <row r="9">
      <c r="A9" s="5" t="inlineStr">
        <is>
          <t>52-week trading range</t>
        </is>
      </c>
      <c r="B9" s="25" t="n">
        <v>112</v>
      </c>
      <c r="C9" s="24">
        <f>D9-B9</f>
        <v/>
      </c>
      <c r="D9" s="25" t="n">
        <v>213.5</v>
      </c>
      <c r="E9" s="24">
        <f>(B9+D9)/2</f>
        <v/>
      </c>
    </row>
    <row r="10">
      <c r="A10" s="5" t="inlineStr">
        <is>
          <t>Broker consensus target (25 analysts)</t>
        </is>
      </c>
      <c r="B10" s="25" t="n">
        <v>212</v>
      </c>
      <c r="C10" s="24">
        <f>D10-B10</f>
        <v/>
      </c>
      <c r="D10" s="25" t="n">
        <v>212</v>
      </c>
      <c r="E10" s="24">
        <f>(B10+D10)/2</f>
        <v/>
      </c>
    </row>
    <row r="12">
      <c r="A12" s="8" t="inlineStr">
        <is>
          <t>CURRENT SHARE PRICE (DKK)</t>
        </is>
      </c>
      <c r="B12" s="9">
        <f>DCF!$B$12</f>
        <v/>
      </c>
    </row>
    <row r="13">
      <c r="A13" s="8" t="inlineStr">
        <is>
          <t>Base case DCF (Gordon growth)</t>
        </is>
      </c>
      <c r="B13" s="9">
        <f>DCF!H37</f>
        <v/>
      </c>
    </row>
    <row r="14">
      <c r="A14" s="8" t="inlineStr">
        <is>
          <t>Base case DCF (exit multiple)</t>
        </is>
      </c>
      <c r="B14" s="9">
        <f>DCF!H50</f>
        <v/>
      </c>
    </row>
    <row r="15">
      <c r="A15" s="8" t="inlineStr">
        <is>
          <t>Recommendation</t>
        </is>
      </c>
      <c r="B15" s="26">
        <f>IF(DCF!H39&gt;0.15,"BUY",IF(DCF!H39&lt;-0.15,"SELL","HOLD"))</f>
        <v/>
      </c>
      <c r="G15" s="3" t="inlineStr">
        <is>
          <t>Mechanical rule: &gt;+15% BUY, &lt;-15% SELL, otherwise HOLD. State your rule in the memo.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6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15" customWidth="1" min="8" max="8"/>
    <col width="58" customWidth="1" min="9" max="9"/>
  </cols>
  <sheetData>
    <row r="1" ht="20" customHeight="1">
      <c r="A1" s="20" t="inlineStr">
        <is>
          <t>DISCOUNTED CASH FLOW  —  VALUATION</t>
        </is>
      </c>
    </row>
    <row r="2">
      <c r="A2" s="21" t="inlineStr">
        <is>
          <t>Two terminal value methods, a full EV-to-equity bridge, an implied share price and a reverse DCF.</t>
        </is>
      </c>
    </row>
    <row r="4" ht="16" customHeight="1">
      <c r="A4" s="4" t="inlineStr">
        <is>
          <t>KEY PARAMETERS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WACC (discount rate)</t>
        </is>
      </c>
      <c r="B5" s="13">
        <f>Assumptions!B38</f>
        <v/>
      </c>
    </row>
    <row r="6">
      <c r="A6" s="5" t="inlineStr">
        <is>
          <t>Terminal growth rate (g)</t>
        </is>
      </c>
      <c r="B6" s="13">
        <f>Assumptions!B39</f>
        <v/>
      </c>
    </row>
    <row r="7">
      <c r="A7" s="5" t="inlineStr">
        <is>
          <t>Exit EV/EBITDA multiple</t>
        </is>
      </c>
      <c r="B7" s="27">
        <f>Assumptions!B40</f>
        <v/>
      </c>
    </row>
    <row r="8">
      <c r="A8" s="5" t="inlineStr">
        <is>
          <t>Mid-year convention (1 = yes)</t>
        </is>
      </c>
      <c r="B8" s="7">
        <f>Assumptions!B41</f>
        <v/>
      </c>
    </row>
    <row r="9">
      <c r="A9" s="5" t="inlineStr">
        <is>
          <t>Net cash / (net debt), EUR m</t>
        </is>
      </c>
      <c r="B9" s="7">
        <f>Historical!F31</f>
        <v/>
      </c>
      <c r="I9" s="3" t="inlineStr">
        <is>
          <t>POSITIVE = net cash, so it is ADDED to enterprise value.</t>
        </is>
      </c>
    </row>
    <row r="10">
      <c r="A10" s="5" t="inlineStr">
        <is>
          <t>Diluted shares outstanding (m)</t>
        </is>
      </c>
      <c r="B10" s="28">
        <f>Historical!F32</f>
        <v/>
      </c>
    </row>
    <row r="11">
      <c r="A11" s="5" t="inlineStr">
        <is>
          <t>EUR / DKK</t>
        </is>
      </c>
      <c r="B11" s="10">
        <f>WACC!B22</f>
        <v/>
      </c>
    </row>
    <row r="12">
      <c r="A12" s="5" t="inlineStr">
        <is>
          <t>Current share price (DKK)</t>
        </is>
      </c>
      <c r="B12" s="10">
        <f>WACC!B20</f>
        <v/>
      </c>
    </row>
    <row r="14" ht="16" customHeight="1">
      <c r="A14" s="4" t="inlineStr">
        <is>
          <t>STEP 1  —  DISCOUNT THE EXPLICIT FORECAST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22" t="inlineStr">
        <is>
          <t>EUR m</t>
        </is>
      </c>
      <c r="B15" s="23" t="inlineStr">
        <is>
          <t>2026E</t>
        </is>
      </c>
      <c r="C15" s="23" t="inlineStr">
        <is>
          <t>2027E</t>
        </is>
      </c>
      <c r="D15" s="23" t="inlineStr">
        <is>
          <t>2028E</t>
        </is>
      </c>
      <c r="E15" s="23" t="inlineStr">
        <is>
          <t>2029E</t>
        </is>
      </c>
      <c r="F15" s="23" t="inlineStr">
        <is>
          <t>2030E</t>
        </is>
      </c>
      <c r="G15" s="23" t="inlineStr"/>
      <c r="H15" s="23" t="inlineStr">
        <is>
          <t>Total</t>
        </is>
      </c>
    </row>
    <row r="16">
      <c r="A16" s="8" t="inlineStr">
        <is>
          <t>Unlevered free cash flow</t>
        </is>
      </c>
      <c r="B16" s="29">
        <f>FCF!C13</f>
        <v/>
      </c>
      <c r="C16" s="29">
        <f>FCF!D13</f>
        <v/>
      </c>
      <c r="D16" s="29">
        <f>FCF!E13</f>
        <v/>
      </c>
      <c r="E16" s="29">
        <f>FCF!F13</f>
        <v/>
      </c>
      <c r="F16" s="29">
        <f>FCF!G13</f>
        <v/>
      </c>
    </row>
    <row r="17">
      <c r="A17" s="5" t="inlineStr">
        <is>
          <t>Discount period (years)</t>
        </is>
      </c>
      <c r="B17" s="30">
        <f>IF($B$8=1,COLUMN()-COLUMN($B$17)+0.5,COLUMN()-COLUMN($B$17)+1)</f>
        <v/>
      </c>
      <c r="C17" s="30">
        <f>IF($B$8=1,COLUMN()-COLUMN($B$17)+0.5,COLUMN()-COLUMN($B$17)+1)</f>
        <v/>
      </c>
      <c r="D17" s="30">
        <f>IF($B$8=1,COLUMN()-COLUMN($B$17)+0.5,COLUMN()-COLUMN($B$17)+1)</f>
        <v/>
      </c>
      <c r="E17" s="30">
        <f>IF($B$8=1,COLUMN()-COLUMN($B$17)+0.5,COLUMN()-COLUMN($B$17)+1)</f>
        <v/>
      </c>
      <c r="F17" s="30">
        <f>IF($B$8=1,COLUMN()-COLUMN($B$17)+0.5,COLUMN()-COLUMN($B$17)+1)</f>
        <v/>
      </c>
      <c r="I17" s="3" t="inlineStr">
        <is>
          <t>Mid-year: 0.5, 1.5, 2.5...  Year-end: 1, 2, 3...</t>
        </is>
      </c>
    </row>
    <row r="18">
      <c r="A18" s="5" t="inlineStr">
        <is>
          <t>Discount factor</t>
        </is>
      </c>
      <c r="B18" s="31">
        <f>1/(1+$B$5)^B17</f>
        <v/>
      </c>
      <c r="C18" s="31">
        <f>1/(1+$B$5)^C17</f>
        <v/>
      </c>
      <c r="D18" s="31">
        <f>1/(1+$B$5)^D17</f>
        <v/>
      </c>
      <c r="E18" s="31">
        <f>1/(1+$B$5)^E17</f>
        <v/>
      </c>
      <c r="F18" s="31">
        <f>1/(1+$B$5)^F17</f>
        <v/>
      </c>
    </row>
    <row r="19">
      <c r="A19" s="8" t="inlineStr">
        <is>
          <t>Present value of FCF</t>
        </is>
      </c>
      <c r="B19" s="32">
        <f>B16*B18</f>
        <v/>
      </c>
      <c r="C19" s="32">
        <f>C16*C18</f>
        <v/>
      </c>
      <c r="D19" s="32">
        <f>D16*D18</f>
        <v/>
      </c>
      <c r="E19" s="32">
        <f>E16*E18</f>
        <v/>
      </c>
      <c r="F19" s="32">
        <f>F16*F18</f>
        <v/>
      </c>
      <c r="H19" s="33">
        <f>SUM(B19:F19)</f>
        <v/>
      </c>
    </row>
    <row r="21" ht="16" customHeight="1">
      <c r="A21" s="4" t="inlineStr">
        <is>
          <t>STEP 2  —  TERMINAL VALUE, METHOD 1: PERPETUITY (GORDON) GROWTH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inlineStr">
        <is>
          <t>Terminal year FCF  =  2030E FCF x (1 + g)</t>
        </is>
      </c>
      <c r="F22" s="32">
        <f>F16*(1+$B$6)</f>
        <v/>
      </c>
    </row>
    <row r="23">
      <c r="A23" s="8" t="inlineStr">
        <is>
          <t>Terminal value at end of 2030E  =  TFCF / (WACC - g)</t>
        </is>
      </c>
      <c r="F23" s="32">
        <f>F22/($B$5-$B$6)</f>
        <v/>
      </c>
    </row>
    <row r="24">
      <c r="A24" s="5" t="inlineStr">
        <is>
          <t>Discount factor at end of year 5</t>
        </is>
      </c>
      <c r="F24" s="31">
        <f>1/(1+$B$5)^5</f>
        <v/>
      </c>
      <c r="I24" s="3" t="inlineStr">
        <is>
          <t>TV sits at 31-Dec-2030, so it is discounted a full 5 years even under mid-year.</t>
        </is>
      </c>
    </row>
    <row r="25">
      <c r="A25" s="8" t="inlineStr">
        <is>
          <t>Present value of terminal value</t>
        </is>
      </c>
      <c r="F25" s="32">
        <f>F23*F24</f>
        <v/>
      </c>
      <c r="H25" s="33">
        <f>F25</f>
        <v/>
      </c>
    </row>
    <row r="26">
      <c r="A26" s="5" t="inlineStr">
        <is>
          <t>Exit EV/EBITDA implied by the Gordon terminal value</t>
        </is>
      </c>
      <c r="F26" s="34">
        <f>F23/'P&amp;L'!G13</f>
        <v/>
      </c>
      <c r="I26" s="3" t="inlineStr">
        <is>
          <t>Sanity check: is that multiple plausible versus where the sector trades today?</t>
        </is>
      </c>
    </row>
    <row r="28" ht="16" customHeight="1">
      <c r="A28" s="4" t="inlineStr">
        <is>
          <t>STEP 3  —  VALUATION BRIDGE  (GORDON GROWTH)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Present value of explicit forecast FCF (2026E-2030E)</t>
        </is>
      </c>
      <c r="H29" s="32">
        <f>H19</f>
        <v/>
      </c>
    </row>
    <row r="30">
      <c r="A30" s="5" t="inlineStr">
        <is>
          <t>Present value of terminal value</t>
        </is>
      </c>
      <c r="H30" s="32">
        <f>H25</f>
        <v/>
      </c>
    </row>
    <row r="31">
      <c r="A31" s="8" t="inlineStr">
        <is>
          <t>ENTERPRISE VALUE</t>
        </is>
      </c>
      <c r="H31" s="33">
        <f>H29+H30</f>
        <v/>
      </c>
    </row>
    <row r="32">
      <c r="A32" s="5" t="inlineStr">
        <is>
          <t>Terminal value as % of enterprise value</t>
        </is>
      </c>
      <c r="H32" s="35">
        <f>H30/H31</f>
        <v/>
      </c>
      <c r="I32" s="3" t="inlineStr">
        <is>
          <t>Above roughly 75% and the reviewer stops believing the explicit forecast matters.</t>
        </is>
      </c>
    </row>
    <row r="33">
      <c r="A33" s="5" t="inlineStr">
        <is>
          <t>(+)  Net cash / (-) net debt</t>
        </is>
      </c>
      <c r="H33" s="32">
        <f>$B$9</f>
        <v/>
      </c>
    </row>
    <row r="34">
      <c r="A34" s="8" t="inlineStr">
        <is>
          <t>EQUITY VALUE</t>
        </is>
      </c>
      <c r="H34" s="33">
        <f>H31+H33</f>
        <v/>
      </c>
    </row>
    <row r="35">
      <c r="A35" s="5" t="inlineStr">
        <is>
          <t>Diluted shares outstanding (m)</t>
        </is>
      </c>
      <c r="H35" s="30">
        <f>$B$10</f>
        <v/>
      </c>
    </row>
    <row r="36">
      <c r="A36" s="8" t="inlineStr">
        <is>
          <t>IMPLIED VALUE PER SHARE  (EUR)</t>
        </is>
      </c>
      <c r="H36" s="36">
        <f>H34/H35</f>
        <v/>
      </c>
    </row>
    <row r="37">
      <c r="A37" s="8" t="inlineStr">
        <is>
          <t>IMPLIED VALUE PER SHARE  (DKK)</t>
        </is>
      </c>
      <c r="H37" s="36">
        <f>H36*$B$11</f>
        <v/>
      </c>
    </row>
    <row r="38">
      <c r="A38" s="5" t="inlineStr">
        <is>
          <t>Current share price (DKK)</t>
        </is>
      </c>
      <c r="H38" s="24">
        <f>$B$12</f>
        <v/>
      </c>
    </row>
    <row r="39">
      <c r="A39" s="8" t="inlineStr">
        <is>
          <t>UPSIDE / (DOWNSIDE)</t>
        </is>
      </c>
      <c r="H39" s="37">
        <f>H37/H38-1</f>
        <v/>
      </c>
    </row>
    <row r="41" ht="16" customHeight="1">
      <c r="A41" s="4" t="inlineStr">
        <is>
          <t>STEP 4  —  TERMINAL VALUE, METHOD 2: EXIT EV/EBITDA MULTIPLE (CROSS-CHECK)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5" t="inlineStr">
        <is>
          <t>2030E EBITDA</t>
        </is>
      </c>
      <c r="F42" s="29">
        <f>'P&amp;L'!G13</f>
        <v/>
      </c>
    </row>
    <row r="43">
      <c r="A43" s="5" t="inlineStr">
        <is>
          <t>Exit EV/EBITDA multiple</t>
        </is>
      </c>
      <c r="F43" s="34">
        <f>$B$7</f>
        <v/>
      </c>
    </row>
    <row r="44">
      <c r="A44" s="5" t="inlineStr">
        <is>
          <t>Terminal value at end of 2030E</t>
        </is>
      </c>
      <c r="F44" s="32">
        <f>F42*F43</f>
        <v/>
      </c>
    </row>
    <row r="45">
      <c r="A45" s="5" t="inlineStr">
        <is>
          <t>Present value of terminal value</t>
        </is>
      </c>
      <c r="F45" s="32">
        <f>F44*F24</f>
        <v/>
      </c>
    </row>
    <row r="46">
      <c r="A46" s="8" t="inlineStr">
        <is>
          <t>Enterprise value (exit multiple method)</t>
        </is>
      </c>
      <c r="H46" s="33">
        <f>H19+F45</f>
        <v/>
      </c>
    </row>
    <row r="47">
      <c r="A47" s="5" t="inlineStr">
        <is>
          <t>(+)  Net cash / (-) net debt</t>
        </is>
      </c>
      <c r="H47" s="32">
        <f>$B$9</f>
        <v/>
      </c>
    </row>
    <row r="48">
      <c r="A48" s="8" t="inlineStr">
        <is>
          <t>Equity value</t>
        </is>
      </c>
      <c r="H48" s="33">
        <f>H46+H47</f>
        <v/>
      </c>
    </row>
    <row r="49">
      <c r="A49" s="5" t="inlineStr">
        <is>
          <t>Implied value per share (EUR)</t>
        </is>
      </c>
      <c r="H49" s="24">
        <f>H48/$B$10</f>
        <v/>
      </c>
    </row>
    <row r="50">
      <c r="A50" s="8" t="inlineStr">
        <is>
          <t>IMPLIED VALUE PER SHARE (DKK)</t>
        </is>
      </c>
      <c r="H50" s="36">
        <f>H49*$B$11</f>
        <v/>
      </c>
    </row>
    <row r="51">
      <c r="A51" s="8" t="inlineStr">
        <is>
          <t>Upside / (downside)</t>
        </is>
      </c>
      <c r="H51" s="37">
        <f>H50/$B$12-1</f>
        <v/>
      </c>
    </row>
    <row r="52">
      <c r="A52" s="5" t="inlineStr">
        <is>
          <t>Perpetuity growth implied by the exit multiple</t>
        </is>
      </c>
      <c r="H52" s="38">
        <f>(F44*$B$5-F16)/(F44+F16)</f>
        <v/>
      </c>
      <c r="I52" s="3" t="inlineStr">
        <is>
          <t>If this implied g is above about 3%, your exit multiple is too generous.</t>
        </is>
      </c>
    </row>
    <row r="54" ht="16" customHeight="1">
      <c r="A54" s="4" t="inlineStr">
        <is>
          <t>STEP 5  —  IMPLIED MULTIPLES, MARKET COMPARISON AND REVERSE DCF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5" t="inlineStr">
        <is>
          <t>DCF EV / 2026E revenue</t>
        </is>
      </c>
      <c r="H55" s="34">
        <f>H31/'P&amp;L'!C7</f>
        <v/>
      </c>
    </row>
    <row r="56">
      <c r="A56" s="5" t="inlineStr">
        <is>
          <t>DCF EV / 2026E EBITDA</t>
        </is>
      </c>
      <c r="H56" s="34">
        <f>H31/'P&amp;L'!C13</f>
        <v/>
      </c>
    </row>
    <row r="57">
      <c r="A57" s="5" t="inlineStr">
        <is>
          <t>DCF EV / 2026E EBIT</t>
        </is>
      </c>
      <c r="H57" s="34">
        <f>H31/'P&amp;L'!C16</f>
        <v/>
      </c>
    </row>
    <row r="58">
      <c r="A58" s="5" t="inlineStr">
        <is>
          <t>2026E FCF yield on DCF equity value</t>
        </is>
      </c>
      <c r="H58" s="35">
        <f>B16/H34</f>
        <v/>
      </c>
    </row>
    <row r="60">
      <c r="A60" s="5" t="inlineStr">
        <is>
          <t>Market capitalisation (EUR m)</t>
        </is>
      </c>
      <c r="H60" s="32">
        <f>$B$12*$B$10/$B$11</f>
        <v/>
      </c>
    </row>
    <row r="61">
      <c r="A61" s="5" t="inlineStr">
        <is>
          <t>Market enterprise value (EUR m)</t>
        </is>
      </c>
      <c r="H61" s="32">
        <f>H60-$B$9</f>
        <v/>
      </c>
    </row>
    <row r="62">
      <c r="A62" s="5" t="inlineStr">
        <is>
          <t>Market EV / 2026E EBITDA</t>
        </is>
      </c>
      <c r="H62" s="34">
        <f>H61/'P&amp;L'!C13</f>
        <v/>
      </c>
    </row>
    <row r="63">
      <c r="A63" s="5" t="inlineStr">
        <is>
          <t>Market EV / 2025A EBITDA</t>
        </is>
      </c>
      <c r="H63" s="34">
        <f>H61/Historical!F13</f>
        <v/>
      </c>
    </row>
    <row r="64">
      <c r="A64" s="5" t="inlineStr">
        <is>
          <t>REVERSE DCF: perpetuity growth the market is pricing in</t>
        </is>
      </c>
      <c r="H64" s="38">
        <f>(((H61-H19)/F24)*$B$5-F16)/(((H61-H19)/F24)+F16)</f>
        <v/>
      </c>
      <c r="I64" s="3" t="inlineStr">
        <is>
          <t>THE killer interview slide: what would have to be true to justify today's price?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I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20" t="inlineStr">
        <is>
          <t>SENSITIVITY ANALYSIS</t>
        </is>
      </c>
    </row>
    <row r="2">
      <c r="A2" s="21" t="inlineStr">
        <is>
          <t>Every cell rebuilds the whole DCF from the free cash flow stream. No Excel Data Table, no volatile functions, nothing to refresh manually.</t>
        </is>
      </c>
    </row>
    <row r="4">
      <c r="B4" s="8" t="inlineStr">
        <is>
          <t>Base case implied price (DKK)</t>
        </is>
      </c>
      <c r="C4" s="9">
        <f>DCF!H37</f>
        <v/>
      </c>
      <c r="E4" s="8" t="inlineStr">
        <is>
          <t>Current market price (DKK)</t>
        </is>
      </c>
      <c r="F4" s="9">
        <f>DCF!$B$12</f>
        <v/>
      </c>
    </row>
    <row r="6" ht="16" customHeight="1">
      <c r="A6" s="4" t="inlineStr">
        <is>
          <t>TABLE 1  —  IMPLIED SHARE PRICE (DKK):   WACC (across)   x   TERMINAL GROWTH g (down)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B7" s="39" t="inlineStr">
        <is>
          <t>g  \  WACC</t>
        </is>
      </c>
      <c r="C7" s="40">
        <f>DCF!$B$5-0.0075</f>
        <v/>
      </c>
      <c r="D7" s="40">
        <f>DCF!$B$5-0.0050</f>
        <v/>
      </c>
      <c r="E7" s="40">
        <f>DCF!$B$5-0.0025</f>
        <v/>
      </c>
      <c r="F7" s="40">
        <f>DCF!$B$5+0.0000</f>
        <v/>
      </c>
      <c r="G7" s="40">
        <f>DCF!$B$5+0.0025</f>
        <v/>
      </c>
      <c r="H7" s="40">
        <f>DCF!$B$5+0.0050</f>
        <v/>
      </c>
      <c r="I7" s="40">
        <f>DCF!$B$5+0.0075</f>
        <v/>
      </c>
    </row>
    <row r="8">
      <c r="B8" s="40">
        <f>DCF!$B$6-0.0075</f>
        <v/>
      </c>
      <c r="C8" s="41">
        <f>(DCF!$B$16/(1+C$7)^DCF!$B$17+DCF!$C$16/(1+C$7)^DCF!$C$17+DCF!$D$16/(1+C$7)^DCF!$D$17+DCF!$E$16/(1+C$7)^DCF!$E$17+DCF!$F$16/(1+C$7)^DCF!$F$17+DCF!$F$16*(1+$B8)/(C$7-$B8)/(1+C$7)^5+DCF!$B$9)/DCF!$B$10*DCF!$B$11</f>
        <v/>
      </c>
      <c r="D8" s="41">
        <f>(DCF!$B$16/(1+D$7)^DCF!$B$17+DCF!$C$16/(1+D$7)^DCF!$C$17+DCF!$D$16/(1+D$7)^DCF!$D$17+DCF!$E$16/(1+D$7)^DCF!$E$17+DCF!$F$16/(1+D$7)^DCF!$F$17+DCF!$F$16*(1+$B8)/(D$7-$B8)/(1+D$7)^5+DCF!$B$9)/DCF!$B$10*DCF!$B$11</f>
        <v/>
      </c>
      <c r="E8" s="41">
        <f>(DCF!$B$16/(1+E$7)^DCF!$B$17+DCF!$C$16/(1+E$7)^DCF!$C$17+DCF!$D$16/(1+E$7)^DCF!$D$17+DCF!$E$16/(1+E$7)^DCF!$E$17+DCF!$F$16/(1+E$7)^DCF!$F$17+DCF!$F$16*(1+$B8)/(E$7-$B8)/(1+E$7)^5+DCF!$B$9)/DCF!$B$10*DCF!$B$11</f>
        <v/>
      </c>
      <c r="F8" s="41">
        <f>(DCF!$B$16/(1+F$7)^DCF!$B$17+DCF!$C$16/(1+F$7)^DCF!$C$17+DCF!$D$16/(1+F$7)^DCF!$D$17+DCF!$E$16/(1+F$7)^DCF!$E$17+DCF!$F$16/(1+F$7)^DCF!$F$17+DCF!$F$16*(1+$B8)/(F$7-$B8)/(1+F$7)^5+DCF!$B$9)/DCF!$B$10*DCF!$B$11</f>
        <v/>
      </c>
      <c r="G8" s="41">
        <f>(DCF!$B$16/(1+G$7)^DCF!$B$17+DCF!$C$16/(1+G$7)^DCF!$C$17+DCF!$D$16/(1+G$7)^DCF!$D$17+DCF!$E$16/(1+G$7)^DCF!$E$17+DCF!$F$16/(1+G$7)^DCF!$F$17+DCF!$F$16*(1+$B8)/(G$7-$B8)/(1+G$7)^5+DCF!$B$9)/DCF!$B$10*DCF!$B$11</f>
        <v/>
      </c>
      <c r="H8" s="41">
        <f>(DCF!$B$16/(1+H$7)^DCF!$B$17+DCF!$C$16/(1+H$7)^DCF!$C$17+DCF!$D$16/(1+H$7)^DCF!$D$17+DCF!$E$16/(1+H$7)^DCF!$E$17+DCF!$F$16/(1+H$7)^DCF!$F$17+DCF!$F$16*(1+$B8)/(H$7-$B8)/(1+H$7)^5+DCF!$B$9)/DCF!$B$10*DCF!$B$11</f>
        <v/>
      </c>
      <c r="I8" s="41">
        <f>(DCF!$B$16/(1+I$7)^DCF!$B$17+DCF!$C$16/(1+I$7)^DCF!$C$17+DCF!$D$16/(1+I$7)^DCF!$D$17+DCF!$E$16/(1+I$7)^DCF!$E$17+DCF!$F$16/(1+I$7)^DCF!$F$17+DCF!$F$16*(1+$B8)/(I$7-$B8)/(1+I$7)^5+DCF!$B$9)/DCF!$B$10*DCF!$B$11</f>
        <v/>
      </c>
    </row>
    <row r="9">
      <c r="B9" s="40">
        <f>DCF!$B$6-0.0050</f>
        <v/>
      </c>
      <c r="C9" s="41">
        <f>(DCF!$B$16/(1+C$7)^DCF!$B$17+DCF!$C$16/(1+C$7)^DCF!$C$17+DCF!$D$16/(1+C$7)^DCF!$D$17+DCF!$E$16/(1+C$7)^DCF!$E$17+DCF!$F$16/(1+C$7)^DCF!$F$17+DCF!$F$16*(1+$B9)/(C$7-$B9)/(1+C$7)^5+DCF!$B$9)/DCF!$B$10*DCF!$B$11</f>
        <v/>
      </c>
      <c r="D9" s="41">
        <f>(DCF!$B$16/(1+D$7)^DCF!$B$17+DCF!$C$16/(1+D$7)^DCF!$C$17+DCF!$D$16/(1+D$7)^DCF!$D$17+DCF!$E$16/(1+D$7)^DCF!$E$17+DCF!$F$16/(1+D$7)^DCF!$F$17+DCF!$F$16*(1+$B9)/(D$7-$B9)/(1+D$7)^5+DCF!$B$9)/DCF!$B$10*DCF!$B$11</f>
        <v/>
      </c>
      <c r="E9" s="41">
        <f>(DCF!$B$16/(1+E$7)^DCF!$B$17+DCF!$C$16/(1+E$7)^DCF!$C$17+DCF!$D$16/(1+E$7)^DCF!$D$17+DCF!$E$16/(1+E$7)^DCF!$E$17+DCF!$F$16/(1+E$7)^DCF!$F$17+DCF!$F$16*(1+$B9)/(E$7-$B9)/(1+E$7)^5+DCF!$B$9)/DCF!$B$10*DCF!$B$11</f>
        <v/>
      </c>
      <c r="F9" s="41">
        <f>(DCF!$B$16/(1+F$7)^DCF!$B$17+DCF!$C$16/(1+F$7)^DCF!$C$17+DCF!$D$16/(1+F$7)^DCF!$D$17+DCF!$E$16/(1+F$7)^DCF!$E$17+DCF!$F$16/(1+F$7)^DCF!$F$17+DCF!$F$16*(1+$B9)/(F$7-$B9)/(1+F$7)^5+DCF!$B$9)/DCF!$B$10*DCF!$B$11</f>
        <v/>
      </c>
      <c r="G9" s="41">
        <f>(DCF!$B$16/(1+G$7)^DCF!$B$17+DCF!$C$16/(1+G$7)^DCF!$C$17+DCF!$D$16/(1+G$7)^DCF!$D$17+DCF!$E$16/(1+G$7)^DCF!$E$17+DCF!$F$16/(1+G$7)^DCF!$F$17+DCF!$F$16*(1+$B9)/(G$7-$B9)/(1+G$7)^5+DCF!$B$9)/DCF!$B$10*DCF!$B$11</f>
        <v/>
      </c>
      <c r="H9" s="41">
        <f>(DCF!$B$16/(1+H$7)^DCF!$B$17+DCF!$C$16/(1+H$7)^DCF!$C$17+DCF!$D$16/(1+H$7)^DCF!$D$17+DCF!$E$16/(1+H$7)^DCF!$E$17+DCF!$F$16/(1+H$7)^DCF!$F$17+DCF!$F$16*(1+$B9)/(H$7-$B9)/(1+H$7)^5+DCF!$B$9)/DCF!$B$10*DCF!$B$11</f>
        <v/>
      </c>
      <c r="I9" s="41">
        <f>(DCF!$B$16/(1+I$7)^DCF!$B$17+DCF!$C$16/(1+I$7)^DCF!$C$17+DCF!$D$16/(1+I$7)^DCF!$D$17+DCF!$E$16/(1+I$7)^DCF!$E$17+DCF!$F$16/(1+I$7)^DCF!$F$17+DCF!$F$16*(1+$B9)/(I$7-$B9)/(1+I$7)^5+DCF!$B$9)/DCF!$B$10*DCF!$B$11</f>
        <v/>
      </c>
    </row>
    <row r="10">
      <c r="B10" s="40">
        <f>DCF!$B$6-0.0025</f>
        <v/>
      </c>
      <c r="C10" s="41">
        <f>(DCF!$B$16/(1+C$7)^DCF!$B$17+DCF!$C$16/(1+C$7)^DCF!$C$17+DCF!$D$16/(1+C$7)^DCF!$D$17+DCF!$E$16/(1+C$7)^DCF!$E$17+DCF!$F$16/(1+C$7)^DCF!$F$17+DCF!$F$16*(1+$B10)/(C$7-$B10)/(1+C$7)^5+DCF!$B$9)/DCF!$B$10*DCF!$B$11</f>
        <v/>
      </c>
      <c r="D10" s="41">
        <f>(DCF!$B$16/(1+D$7)^DCF!$B$17+DCF!$C$16/(1+D$7)^DCF!$C$17+DCF!$D$16/(1+D$7)^DCF!$D$17+DCF!$E$16/(1+D$7)^DCF!$E$17+DCF!$F$16/(1+D$7)^DCF!$F$17+DCF!$F$16*(1+$B10)/(D$7-$B10)/(1+D$7)^5+DCF!$B$9)/DCF!$B$10*DCF!$B$11</f>
        <v/>
      </c>
      <c r="E10" s="41">
        <f>(DCF!$B$16/(1+E$7)^DCF!$B$17+DCF!$C$16/(1+E$7)^DCF!$C$17+DCF!$D$16/(1+E$7)^DCF!$D$17+DCF!$E$16/(1+E$7)^DCF!$E$17+DCF!$F$16/(1+E$7)^DCF!$F$17+DCF!$F$16*(1+$B10)/(E$7-$B10)/(1+E$7)^5+DCF!$B$9)/DCF!$B$10*DCF!$B$11</f>
        <v/>
      </c>
      <c r="F10" s="41">
        <f>(DCF!$B$16/(1+F$7)^DCF!$B$17+DCF!$C$16/(1+F$7)^DCF!$C$17+DCF!$D$16/(1+F$7)^DCF!$D$17+DCF!$E$16/(1+F$7)^DCF!$E$17+DCF!$F$16/(1+F$7)^DCF!$F$17+DCF!$F$16*(1+$B10)/(F$7-$B10)/(1+F$7)^5+DCF!$B$9)/DCF!$B$10*DCF!$B$11</f>
        <v/>
      </c>
      <c r="G10" s="41">
        <f>(DCF!$B$16/(1+G$7)^DCF!$B$17+DCF!$C$16/(1+G$7)^DCF!$C$17+DCF!$D$16/(1+G$7)^DCF!$D$17+DCF!$E$16/(1+G$7)^DCF!$E$17+DCF!$F$16/(1+G$7)^DCF!$F$17+DCF!$F$16*(1+$B10)/(G$7-$B10)/(1+G$7)^5+DCF!$B$9)/DCF!$B$10*DCF!$B$11</f>
        <v/>
      </c>
      <c r="H10" s="41">
        <f>(DCF!$B$16/(1+H$7)^DCF!$B$17+DCF!$C$16/(1+H$7)^DCF!$C$17+DCF!$D$16/(1+H$7)^DCF!$D$17+DCF!$E$16/(1+H$7)^DCF!$E$17+DCF!$F$16/(1+H$7)^DCF!$F$17+DCF!$F$16*(1+$B10)/(H$7-$B10)/(1+H$7)^5+DCF!$B$9)/DCF!$B$10*DCF!$B$11</f>
        <v/>
      </c>
      <c r="I10" s="41">
        <f>(DCF!$B$16/(1+I$7)^DCF!$B$17+DCF!$C$16/(1+I$7)^DCF!$C$17+DCF!$D$16/(1+I$7)^DCF!$D$17+DCF!$E$16/(1+I$7)^DCF!$E$17+DCF!$F$16/(1+I$7)^DCF!$F$17+DCF!$F$16*(1+$B10)/(I$7-$B10)/(1+I$7)^5+DCF!$B$9)/DCF!$B$10*DCF!$B$11</f>
        <v/>
      </c>
    </row>
    <row r="11">
      <c r="B11" s="40">
        <f>DCF!$B$6+0.0000</f>
        <v/>
      </c>
      <c r="C11" s="41">
        <f>(DCF!$B$16/(1+C$7)^DCF!$B$17+DCF!$C$16/(1+C$7)^DCF!$C$17+DCF!$D$16/(1+C$7)^DCF!$D$17+DCF!$E$16/(1+C$7)^DCF!$E$17+DCF!$F$16/(1+C$7)^DCF!$F$17+DCF!$F$16*(1+$B11)/(C$7-$B11)/(1+C$7)^5+DCF!$B$9)/DCF!$B$10*DCF!$B$11</f>
        <v/>
      </c>
      <c r="D11" s="41">
        <f>(DCF!$B$16/(1+D$7)^DCF!$B$17+DCF!$C$16/(1+D$7)^DCF!$C$17+DCF!$D$16/(1+D$7)^DCF!$D$17+DCF!$E$16/(1+D$7)^DCF!$E$17+DCF!$F$16/(1+D$7)^DCF!$F$17+DCF!$F$16*(1+$B11)/(D$7-$B11)/(1+D$7)^5+DCF!$B$9)/DCF!$B$10*DCF!$B$11</f>
        <v/>
      </c>
      <c r="E11" s="41">
        <f>(DCF!$B$16/(1+E$7)^DCF!$B$17+DCF!$C$16/(1+E$7)^DCF!$C$17+DCF!$D$16/(1+E$7)^DCF!$D$17+DCF!$E$16/(1+E$7)^DCF!$E$17+DCF!$F$16/(1+E$7)^DCF!$F$17+DCF!$F$16*(1+$B11)/(E$7-$B11)/(1+E$7)^5+DCF!$B$9)/DCF!$B$10*DCF!$B$11</f>
        <v/>
      </c>
      <c r="F11" s="41">
        <f>(DCF!$B$16/(1+F$7)^DCF!$B$17+DCF!$C$16/(1+F$7)^DCF!$C$17+DCF!$D$16/(1+F$7)^DCF!$D$17+DCF!$E$16/(1+F$7)^DCF!$E$17+DCF!$F$16/(1+F$7)^DCF!$F$17+DCF!$F$16*(1+$B11)/(F$7-$B11)/(1+F$7)^5+DCF!$B$9)/DCF!$B$10*DCF!$B$11</f>
        <v/>
      </c>
      <c r="G11" s="41">
        <f>(DCF!$B$16/(1+G$7)^DCF!$B$17+DCF!$C$16/(1+G$7)^DCF!$C$17+DCF!$D$16/(1+G$7)^DCF!$D$17+DCF!$E$16/(1+G$7)^DCF!$E$17+DCF!$F$16/(1+G$7)^DCF!$F$17+DCF!$F$16*(1+$B11)/(G$7-$B11)/(1+G$7)^5+DCF!$B$9)/DCF!$B$10*DCF!$B$11</f>
        <v/>
      </c>
      <c r="H11" s="41">
        <f>(DCF!$B$16/(1+H$7)^DCF!$B$17+DCF!$C$16/(1+H$7)^DCF!$C$17+DCF!$D$16/(1+H$7)^DCF!$D$17+DCF!$E$16/(1+H$7)^DCF!$E$17+DCF!$F$16/(1+H$7)^DCF!$F$17+DCF!$F$16*(1+$B11)/(H$7-$B11)/(1+H$7)^5+DCF!$B$9)/DCF!$B$10*DCF!$B$11</f>
        <v/>
      </c>
      <c r="I11" s="41">
        <f>(DCF!$B$16/(1+I$7)^DCF!$B$17+DCF!$C$16/(1+I$7)^DCF!$C$17+DCF!$D$16/(1+I$7)^DCF!$D$17+DCF!$E$16/(1+I$7)^DCF!$E$17+DCF!$F$16/(1+I$7)^DCF!$F$17+DCF!$F$16*(1+$B11)/(I$7-$B11)/(1+I$7)^5+DCF!$B$9)/DCF!$B$10*DCF!$B$11</f>
        <v/>
      </c>
    </row>
    <row r="12">
      <c r="B12" s="40">
        <f>DCF!$B$6+0.0025</f>
        <v/>
      </c>
      <c r="C12" s="41">
        <f>(DCF!$B$16/(1+C$7)^DCF!$B$17+DCF!$C$16/(1+C$7)^DCF!$C$17+DCF!$D$16/(1+C$7)^DCF!$D$17+DCF!$E$16/(1+C$7)^DCF!$E$17+DCF!$F$16/(1+C$7)^DCF!$F$17+DCF!$F$16*(1+$B12)/(C$7-$B12)/(1+C$7)^5+DCF!$B$9)/DCF!$B$10*DCF!$B$11</f>
        <v/>
      </c>
      <c r="D12" s="41">
        <f>(DCF!$B$16/(1+D$7)^DCF!$B$17+DCF!$C$16/(1+D$7)^DCF!$C$17+DCF!$D$16/(1+D$7)^DCF!$D$17+DCF!$E$16/(1+D$7)^DCF!$E$17+DCF!$F$16/(1+D$7)^DCF!$F$17+DCF!$F$16*(1+$B12)/(D$7-$B12)/(1+D$7)^5+DCF!$B$9)/DCF!$B$10*DCF!$B$11</f>
        <v/>
      </c>
      <c r="E12" s="41">
        <f>(DCF!$B$16/(1+E$7)^DCF!$B$17+DCF!$C$16/(1+E$7)^DCF!$C$17+DCF!$D$16/(1+E$7)^DCF!$D$17+DCF!$E$16/(1+E$7)^DCF!$E$17+DCF!$F$16/(1+E$7)^DCF!$F$17+DCF!$F$16*(1+$B12)/(E$7-$B12)/(1+E$7)^5+DCF!$B$9)/DCF!$B$10*DCF!$B$11</f>
        <v/>
      </c>
      <c r="F12" s="41">
        <f>(DCF!$B$16/(1+F$7)^DCF!$B$17+DCF!$C$16/(1+F$7)^DCF!$C$17+DCF!$D$16/(1+F$7)^DCF!$D$17+DCF!$E$16/(1+F$7)^DCF!$E$17+DCF!$F$16/(1+F$7)^DCF!$F$17+DCF!$F$16*(1+$B12)/(F$7-$B12)/(1+F$7)^5+DCF!$B$9)/DCF!$B$10*DCF!$B$11</f>
        <v/>
      </c>
      <c r="G12" s="41">
        <f>(DCF!$B$16/(1+G$7)^DCF!$B$17+DCF!$C$16/(1+G$7)^DCF!$C$17+DCF!$D$16/(1+G$7)^DCF!$D$17+DCF!$E$16/(1+G$7)^DCF!$E$17+DCF!$F$16/(1+G$7)^DCF!$F$17+DCF!$F$16*(1+$B12)/(G$7-$B12)/(1+G$7)^5+DCF!$B$9)/DCF!$B$10*DCF!$B$11</f>
        <v/>
      </c>
      <c r="H12" s="41">
        <f>(DCF!$B$16/(1+H$7)^DCF!$B$17+DCF!$C$16/(1+H$7)^DCF!$C$17+DCF!$D$16/(1+H$7)^DCF!$D$17+DCF!$E$16/(1+H$7)^DCF!$E$17+DCF!$F$16/(1+H$7)^DCF!$F$17+DCF!$F$16*(1+$B12)/(H$7-$B12)/(1+H$7)^5+DCF!$B$9)/DCF!$B$10*DCF!$B$11</f>
        <v/>
      </c>
      <c r="I12" s="41">
        <f>(DCF!$B$16/(1+I$7)^DCF!$B$17+DCF!$C$16/(1+I$7)^DCF!$C$17+DCF!$D$16/(1+I$7)^DCF!$D$17+DCF!$E$16/(1+I$7)^DCF!$E$17+DCF!$F$16/(1+I$7)^DCF!$F$17+DCF!$F$16*(1+$B12)/(I$7-$B12)/(1+I$7)^5+DCF!$B$9)/DCF!$B$10*DCF!$B$11</f>
        <v/>
      </c>
    </row>
    <row r="13">
      <c r="B13" s="40">
        <f>DCF!$B$6+0.0050</f>
        <v/>
      </c>
      <c r="C13" s="41">
        <f>(DCF!$B$16/(1+C$7)^DCF!$B$17+DCF!$C$16/(1+C$7)^DCF!$C$17+DCF!$D$16/(1+C$7)^DCF!$D$17+DCF!$E$16/(1+C$7)^DCF!$E$17+DCF!$F$16/(1+C$7)^DCF!$F$17+DCF!$F$16*(1+$B13)/(C$7-$B13)/(1+C$7)^5+DCF!$B$9)/DCF!$B$10*DCF!$B$11</f>
        <v/>
      </c>
      <c r="D13" s="41">
        <f>(DCF!$B$16/(1+D$7)^DCF!$B$17+DCF!$C$16/(1+D$7)^DCF!$C$17+DCF!$D$16/(1+D$7)^DCF!$D$17+DCF!$E$16/(1+D$7)^DCF!$E$17+DCF!$F$16/(1+D$7)^DCF!$F$17+DCF!$F$16*(1+$B13)/(D$7-$B13)/(1+D$7)^5+DCF!$B$9)/DCF!$B$10*DCF!$B$11</f>
        <v/>
      </c>
      <c r="E13" s="41">
        <f>(DCF!$B$16/(1+E$7)^DCF!$B$17+DCF!$C$16/(1+E$7)^DCF!$C$17+DCF!$D$16/(1+E$7)^DCF!$D$17+DCF!$E$16/(1+E$7)^DCF!$E$17+DCF!$F$16/(1+E$7)^DCF!$F$17+DCF!$F$16*(1+$B13)/(E$7-$B13)/(1+E$7)^5+DCF!$B$9)/DCF!$B$10*DCF!$B$11</f>
        <v/>
      </c>
      <c r="F13" s="41">
        <f>(DCF!$B$16/(1+F$7)^DCF!$B$17+DCF!$C$16/(1+F$7)^DCF!$C$17+DCF!$D$16/(1+F$7)^DCF!$D$17+DCF!$E$16/(1+F$7)^DCF!$E$17+DCF!$F$16/(1+F$7)^DCF!$F$17+DCF!$F$16*(1+$B13)/(F$7-$B13)/(1+F$7)^5+DCF!$B$9)/DCF!$B$10*DCF!$B$11</f>
        <v/>
      </c>
      <c r="G13" s="41">
        <f>(DCF!$B$16/(1+G$7)^DCF!$B$17+DCF!$C$16/(1+G$7)^DCF!$C$17+DCF!$D$16/(1+G$7)^DCF!$D$17+DCF!$E$16/(1+G$7)^DCF!$E$17+DCF!$F$16/(1+G$7)^DCF!$F$17+DCF!$F$16*(1+$B13)/(G$7-$B13)/(1+G$7)^5+DCF!$B$9)/DCF!$B$10*DCF!$B$11</f>
        <v/>
      </c>
      <c r="H13" s="41">
        <f>(DCF!$B$16/(1+H$7)^DCF!$B$17+DCF!$C$16/(1+H$7)^DCF!$C$17+DCF!$D$16/(1+H$7)^DCF!$D$17+DCF!$E$16/(1+H$7)^DCF!$E$17+DCF!$F$16/(1+H$7)^DCF!$F$17+DCF!$F$16*(1+$B13)/(H$7-$B13)/(1+H$7)^5+DCF!$B$9)/DCF!$B$10*DCF!$B$11</f>
        <v/>
      </c>
      <c r="I13" s="41">
        <f>(DCF!$B$16/(1+I$7)^DCF!$B$17+DCF!$C$16/(1+I$7)^DCF!$C$17+DCF!$D$16/(1+I$7)^DCF!$D$17+DCF!$E$16/(1+I$7)^DCF!$E$17+DCF!$F$16/(1+I$7)^DCF!$F$17+DCF!$F$16*(1+$B13)/(I$7-$B13)/(1+I$7)^5+DCF!$B$9)/DCF!$B$10*DCF!$B$11</f>
        <v/>
      </c>
    </row>
    <row r="14">
      <c r="B14" s="40">
        <f>DCF!$B$6+0.0075</f>
        <v/>
      </c>
      <c r="C14" s="41">
        <f>(DCF!$B$16/(1+C$7)^DCF!$B$17+DCF!$C$16/(1+C$7)^DCF!$C$17+DCF!$D$16/(1+C$7)^DCF!$D$17+DCF!$E$16/(1+C$7)^DCF!$E$17+DCF!$F$16/(1+C$7)^DCF!$F$17+DCF!$F$16*(1+$B14)/(C$7-$B14)/(1+C$7)^5+DCF!$B$9)/DCF!$B$10*DCF!$B$11</f>
        <v/>
      </c>
      <c r="D14" s="41">
        <f>(DCF!$B$16/(1+D$7)^DCF!$B$17+DCF!$C$16/(1+D$7)^DCF!$C$17+DCF!$D$16/(1+D$7)^DCF!$D$17+DCF!$E$16/(1+D$7)^DCF!$E$17+DCF!$F$16/(1+D$7)^DCF!$F$17+DCF!$F$16*(1+$B14)/(D$7-$B14)/(1+D$7)^5+DCF!$B$9)/DCF!$B$10*DCF!$B$11</f>
        <v/>
      </c>
      <c r="E14" s="41">
        <f>(DCF!$B$16/(1+E$7)^DCF!$B$17+DCF!$C$16/(1+E$7)^DCF!$C$17+DCF!$D$16/(1+E$7)^DCF!$D$17+DCF!$E$16/(1+E$7)^DCF!$E$17+DCF!$F$16/(1+E$7)^DCF!$F$17+DCF!$F$16*(1+$B14)/(E$7-$B14)/(1+E$7)^5+DCF!$B$9)/DCF!$B$10*DCF!$B$11</f>
        <v/>
      </c>
      <c r="F14" s="41">
        <f>(DCF!$B$16/(1+F$7)^DCF!$B$17+DCF!$C$16/(1+F$7)^DCF!$C$17+DCF!$D$16/(1+F$7)^DCF!$D$17+DCF!$E$16/(1+F$7)^DCF!$E$17+DCF!$F$16/(1+F$7)^DCF!$F$17+DCF!$F$16*(1+$B14)/(F$7-$B14)/(1+F$7)^5+DCF!$B$9)/DCF!$B$10*DCF!$B$11</f>
        <v/>
      </c>
      <c r="G14" s="41">
        <f>(DCF!$B$16/(1+G$7)^DCF!$B$17+DCF!$C$16/(1+G$7)^DCF!$C$17+DCF!$D$16/(1+G$7)^DCF!$D$17+DCF!$E$16/(1+G$7)^DCF!$E$17+DCF!$F$16/(1+G$7)^DCF!$F$17+DCF!$F$16*(1+$B14)/(G$7-$B14)/(1+G$7)^5+DCF!$B$9)/DCF!$B$10*DCF!$B$11</f>
        <v/>
      </c>
      <c r="H14" s="41">
        <f>(DCF!$B$16/(1+H$7)^DCF!$B$17+DCF!$C$16/(1+H$7)^DCF!$C$17+DCF!$D$16/(1+H$7)^DCF!$D$17+DCF!$E$16/(1+H$7)^DCF!$E$17+DCF!$F$16/(1+H$7)^DCF!$F$17+DCF!$F$16*(1+$B14)/(H$7-$B14)/(1+H$7)^5+DCF!$B$9)/DCF!$B$10*DCF!$B$11</f>
        <v/>
      </c>
      <c r="I14" s="41">
        <f>(DCF!$B$16/(1+I$7)^DCF!$B$17+DCF!$C$16/(1+I$7)^DCF!$C$17+DCF!$D$16/(1+I$7)^DCF!$D$17+DCF!$E$16/(1+I$7)^DCF!$E$17+DCF!$F$16/(1+I$7)^DCF!$F$17+DCF!$F$16*(1+$B14)/(I$7-$B14)/(1+I$7)^5+DCF!$B$9)/DCF!$B$10*DCF!$B$11</f>
        <v/>
      </c>
    </row>
    <row r="15">
      <c r="B15" s="3" t="inlineStr">
        <is>
          <t>Read it as: at a 9.5% WACC and 2.0% terminal growth, the model is worth this many DKK per share.</t>
        </is>
      </c>
    </row>
    <row r="16" ht="16" customHeight="1">
      <c r="A16" s="4" t="inlineStr">
        <is>
          <t>TABLE 2  —  UPSIDE / (DOWNSIDE) vs CURRENT SHARE PRICE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B17" s="39" t="inlineStr">
        <is>
          <t>g  \  WACC</t>
        </is>
      </c>
      <c r="C17" s="40">
        <f>DCF!$B$5-0.0075</f>
        <v/>
      </c>
      <c r="D17" s="40">
        <f>DCF!$B$5-0.0050</f>
        <v/>
      </c>
      <c r="E17" s="40">
        <f>DCF!$B$5-0.0025</f>
        <v/>
      </c>
      <c r="F17" s="40">
        <f>DCF!$B$5+0.0000</f>
        <v/>
      </c>
      <c r="G17" s="40">
        <f>DCF!$B$5+0.0025</f>
        <v/>
      </c>
      <c r="H17" s="40">
        <f>DCF!$B$5+0.0050</f>
        <v/>
      </c>
      <c r="I17" s="40">
        <f>DCF!$B$5+0.0075</f>
        <v/>
      </c>
    </row>
    <row r="18">
      <c r="B18" s="40">
        <f>DCF!$B$6-0.0075</f>
        <v/>
      </c>
      <c r="C18" s="42">
        <f>C8/DCF!$B$12-1</f>
        <v/>
      </c>
      <c r="D18" s="42">
        <f>D8/DCF!$B$12-1</f>
        <v/>
      </c>
      <c r="E18" s="42">
        <f>E8/DCF!$B$12-1</f>
        <v/>
      </c>
      <c r="F18" s="42">
        <f>F8/DCF!$B$12-1</f>
        <v/>
      </c>
      <c r="G18" s="42">
        <f>G8/DCF!$B$12-1</f>
        <v/>
      </c>
      <c r="H18" s="42">
        <f>H8/DCF!$B$12-1</f>
        <v/>
      </c>
      <c r="I18" s="42">
        <f>I8/DCF!$B$12-1</f>
        <v/>
      </c>
    </row>
    <row r="19">
      <c r="B19" s="40">
        <f>DCF!$B$6-0.0050</f>
        <v/>
      </c>
      <c r="C19" s="42">
        <f>C9/DCF!$B$12-1</f>
        <v/>
      </c>
      <c r="D19" s="42">
        <f>D9/DCF!$B$12-1</f>
        <v/>
      </c>
      <c r="E19" s="42">
        <f>E9/DCF!$B$12-1</f>
        <v/>
      </c>
      <c r="F19" s="42">
        <f>F9/DCF!$B$12-1</f>
        <v/>
      </c>
      <c r="G19" s="42">
        <f>G9/DCF!$B$12-1</f>
        <v/>
      </c>
      <c r="H19" s="42">
        <f>H9/DCF!$B$12-1</f>
        <v/>
      </c>
      <c r="I19" s="42">
        <f>I9/DCF!$B$12-1</f>
        <v/>
      </c>
    </row>
    <row r="20">
      <c r="B20" s="40">
        <f>DCF!$B$6-0.0025</f>
        <v/>
      </c>
      <c r="C20" s="42">
        <f>C10/DCF!$B$12-1</f>
        <v/>
      </c>
      <c r="D20" s="42">
        <f>D10/DCF!$B$12-1</f>
        <v/>
      </c>
      <c r="E20" s="42">
        <f>E10/DCF!$B$12-1</f>
        <v/>
      </c>
      <c r="F20" s="42">
        <f>F10/DCF!$B$12-1</f>
        <v/>
      </c>
      <c r="G20" s="42">
        <f>G10/DCF!$B$12-1</f>
        <v/>
      </c>
      <c r="H20" s="42">
        <f>H10/DCF!$B$12-1</f>
        <v/>
      </c>
      <c r="I20" s="42">
        <f>I10/DCF!$B$12-1</f>
        <v/>
      </c>
    </row>
    <row r="21">
      <c r="B21" s="40">
        <f>DCF!$B$6+0.0000</f>
        <v/>
      </c>
      <c r="C21" s="42">
        <f>C11/DCF!$B$12-1</f>
        <v/>
      </c>
      <c r="D21" s="42">
        <f>D11/DCF!$B$12-1</f>
        <v/>
      </c>
      <c r="E21" s="42">
        <f>E11/DCF!$B$12-1</f>
        <v/>
      </c>
      <c r="F21" s="42">
        <f>F11/DCF!$B$12-1</f>
        <v/>
      </c>
      <c r="G21" s="42">
        <f>G11/DCF!$B$12-1</f>
        <v/>
      </c>
      <c r="H21" s="42">
        <f>H11/DCF!$B$12-1</f>
        <v/>
      </c>
      <c r="I21" s="42">
        <f>I11/DCF!$B$12-1</f>
        <v/>
      </c>
    </row>
    <row r="22">
      <c r="B22" s="40">
        <f>DCF!$B$6+0.0025</f>
        <v/>
      </c>
      <c r="C22" s="42">
        <f>C12/DCF!$B$12-1</f>
        <v/>
      </c>
      <c r="D22" s="42">
        <f>D12/DCF!$B$12-1</f>
        <v/>
      </c>
      <c r="E22" s="42">
        <f>E12/DCF!$B$12-1</f>
        <v/>
      </c>
      <c r="F22" s="42">
        <f>F12/DCF!$B$12-1</f>
        <v/>
      </c>
      <c r="G22" s="42">
        <f>G12/DCF!$B$12-1</f>
        <v/>
      </c>
      <c r="H22" s="42">
        <f>H12/DCF!$B$12-1</f>
        <v/>
      </c>
      <c r="I22" s="42">
        <f>I12/DCF!$B$12-1</f>
        <v/>
      </c>
    </row>
    <row r="23">
      <c r="B23" s="40">
        <f>DCF!$B$6+0.0050</f>
        <v/>
      </c>
      <c r="C23" s="42">
        <f>C13/DCF!$B$12-1</f>
        <v/>
      </c>
      <c r="D23" s="42">
        <f>D13/DCF!$B$12-1</f>
        <v/>
      </c>
      <c r="E23" s="42">
        <f>E13/DCF!$B$12-1</f>
        <v/>
      </c>
      <c r="F23" s="42">
        <f>F13/DCF!$B$12-1</f>
        <v/>
      </c>
      <c r="G23" s="42">
        <f>G13/DCF!$B$12-1</f>
        <v/>
      </c>
      <c r="H23" s="42">
        <f>H13/DCF!$B$12-1</f>
        <v/>
      </c>
      <c r="I23" s="42">
        <f>I13/DCF!$B$12-1</f>
        <v/>
      </c>
    </row>
    <row r="24">
      <c r="B24" s="40">
        <f>DCF!$B$6+0.0075</f>
        <v/>
      </c>
      <c r="C24" s="42">
        <f>C14/DCF!$B$12-1</f>
        <v/>
      </c>
      <c r="D24" s="42">
        <f>D14/DCF!$B$12-1</f>
        <v/>
      </c>
      <c r="E24" s="42">
        <f>E14/DCF!$B$12-1</f>
        <v/>
      </c>
      <c r="F24" s="42">
        <f>F14/DCF!$B$12-1</f>
        <v/>
      </c>
      <c r="G24" s="42">
        <f>G14/DCF!$B$12-1</f>
        <v/>
      </c>
      <c r="H24" s="42">
        <f>H14/DCF!$B$12-1</f>
        <v/>
      </c>
      <c r="I24" s="42">
        <f>I14/DCF!$B$12-1</f>
        <v/>
      </c>
    </row>
    <row r="25">
      <c r="B25" s="3" t="inlineStr">
        <is>
          <t>Green = the model says the share is cheap. Red = expensive. This is the table that goes in the memo.</t>
        </is>
      </c>
    </row>
    <row r="26" ht="16" customHeight="1">
      <c r="A26" s="4" t="inlineStr">
        <is>
          <t>TABLE 3  —  IMPLIED SHARE PRICE (DKK):   WACC (across)   x   EXIT EV/EBITDA MULTIPLE (down)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B27" s="39" t="inlineStr">
        <is>
          <t>Exit x  \  WACC</t>
        </is>
      </c>
      <c r="C27" s="40">
        <f>DCF!$B$5-0.0075</f>
        <v/>
      </c>
      <c r="D27" s="40">
        <f>DCF!$B$5-0.0050</f>
        <v/>
      </c>
      <c r="E27" s="40">
        <f>DCF!$B$5-0.0025</f>
        <v/>
      </c>
      <c r="F27" s="40">
        <f>DCF!$B$5+0.0000</f>
        <v/>
      </c>
      <c r="G27" s="40">
        <f>DCF!$B$5+0.0025</f>
        <v/>
      </c>
      <c r="H27" s="40">
        <f>DCF!$B$5+0.0050</f>
        <v/>
      </c>
      <c r="I27" s="40">
        <f>DCF!$B$5+0.0075</f>
        <v/>
      </c>
    </row>
    <row r="28">
      <c r="B28" s="43" t="n">
        <v>8.5</v>
      </c>
      <c r="C28" s="41">
        <f>(DCF!$B$16/(1+C$27)^DCF!$B$17+DCF!$C$16/(1+C$27)^DCF!$C$17+DCF!$D$16/(1+C$27)^DCF!$D$17+DCF!$E$16/(1+C$27)^DCF!$E$17+DCF!$F$16/(1+C$27)^DCF!$F$17+'P&amp;L'!$G$13*$B28/(1+C$27)^5+DCF!$B$9)/DCF!$B$10*DCF!$B$11</f>
        <v/>
      </c>
      <c r="D28" s="41">
        <f>(DCF!$B$16/(1+D$27)^DCF!$B$17+DCF!$C$16/(1+D$27)^DCF!$C$17+DCF!$D$16/(1+D$27)^DCF!$D$17+DCF!$E$16/(1+D$27)^DCF!$E$17+DCF!$F$16/(1+D$27)^DCF!$F$17+'P&amp;L'!$G$13*$B28/(1+D$27)^5+DCF!$B$9)/DCF!$B$10*DCF!$B$11</f>
        <v/>
      </c>
      <c r="E28" s="41">
        <f>(DCF!$B$16/(1+E$27)^DCF!$B$17+DCF!$C$16/(1+E$27)^DCF!$C$17+DCF!$D$16/(1+E$27)^DCF!$D$17+DCF!$E$16/(1+E$27)^DCF!$E$17+DCF!$F$16/(1+E$27)^DCF!$F$17+'P&amp;L'!$G$13*$B28/(1+E$27)^5+DCF!$B$9)/DCF!$B$10*DCF!$B$11</f>
        <v/>
      </c>
      <c r="F28" s="41">
        <f>(DCF!$B$16/(1+F$27)^DCF!$B$17+DCF!$C$16/(1+F$27)^DCF!$C$17+DCF!$D$16/(1+F$27)^DCF!$D$17+DCF!$E$16/(1+F$27)^DCF!$E$17+DCF!$F$16/(1+F$27)^DCF!$F$17+'P&amp;L'!$G$13*$B28/(1+F$27)^5+DCF!$B$9)/DCF!$B$10*DCF!$B$11</f>
        <v/>
      </c>
      <c r="G28" s="41">
        <f>(DCF!$B$16/(1+G$27)^DCF!$B$17+DCF!$C$16/(1+G$27)^DCF!$C$17+DCF!$D$16/(1+G$27)^DCF!$D$17+DCF!$E$16/(1+G$27)^DCF!$E$17+DCF!$F$16/(1+G$27)^DCF!$F$17+'P&amp;L'!$G$13*$B28/(1+G$27)^5+DCF!$B$9)/DCF!$B$10*DCF!$B$11</f>
        <v/>
      </c>
      <c r="H28" s="41">
        <f>(DCF!$B$16/(1+H$27)^DCF!$B$17+DCF!$C$16/(1+H$27)^DCF!$C$17+DCF!$D$16/(1+H$27)^DCF!$D$17+DCF!$E$16/(1+H$27)^DCF!$E$17+DCF!$F$16/(1+H$27)^DCF!$F$17+'P&amp;L'!$G$13*$B28/(1+H$27)^5+DCF!$B$9)/DCF!$B$10*DCF!$B$11</f>
        <v/>
      </c>
      <c r="I28" s="41">
        <f>(DCF!$B$16/(1+I$27)^DCF!$B$17+DCF!$C$16/(1+I$27)^DCF!$C$17+DCF!$D$16/(1+I$27)^DCF!$D$17+DCF!$E$16/(1+I$27)^DCF!$E$17+DCF!$F$16/(1+I$27)^DCF!$F$17+'P&amp;L'!$G$13*$B28/(1+I$27)^5+DCF!$B$9)/DCF!$B$10*DCF!$B$11</f>
        <v/>
      </c>
    </row>
    <row r="29">
      <c r="B29" s="43" t="n">
        <v>9</v>
      </c>
      <c r="C29" s="41">
        <f>(DCF!$B$16/(1+C$27)^DCF!$B$17+DCF!$C$16/(1+C$27)^DCF!$C$17+DCF!$D$16/(1+C$27)^DCF!$D$17+DCF!$E$16/(1+C$27)^DCF!$E$17+DCF!$F$16/(1+C$27)^DCF!$F$17+'P&amp;L'!$G$13*$B29/(1+C$27)^5+DCF!$B$9)/DCF!$B$10*DCF!$B$11</f>
        <v/>
      </c>
      <c r="D29" s="41">
        <f>(DCF!$B$16/(1+D$27)^DCF!$B$17+DCF!$C$16/(1+D$27)^DCF!$C$17+DCF!$D$16/(1+D$27)^DCF!$D$17+DCF!$E$16/(1+D$27)^DCF!$E$17+DCF!$F$16/(1+D$27)^DCF!$F$17+'P&amp;L'!$G$13*$B29/(1+D$27)^5+DCF!$B$9)/DCF!$B$10*DCF!$B$11</f>
        <v/>
      </c>
      <c r="E29" s="41">
        <f>(DCF!$B$16/(1+E$27)^DCF!$B$17+DCF!$C$16/(1+E$27)^DCF!$C$17+DCF!$D$16/(1+E$27)^DCF!$D$17+DCF!$E$16/(1+E$27)^DCF!$E$17+DCF!$F$16/(1+E$27)^DCF!$F$17+'P&amp;L'!$G$13*$B29/(1+E$27)^5+DCF!$B$9)/DCF!$B$10*DCF!$B$11</f>
        <v/>
      </c>
      <c r="F29" s="41">
        <f>(DCF!$B$16/(1+F$27)^DCF!$B$17+DCF!$C$16/(1+F$27)^DCF!$C$17+DCF!$D$16/(1+F$27)^DCF!$D$17+DCF!$E$16/(1+F$27)^DCF!$E$17+DCF!$F$16/(1+F$27)^DCF!$F$17+'P&amp;L'!$G$13*$B29/(1+F$27)^5+DCF!$B$9)/DCF!$B$10*DCF!$B$11</f>
        <v/>
      </c>
      <c r="G29" s="41">
        <f>(DCF!$B$16/(1+G$27)^DCF!$B$17+DCF!$C$16/(1+G$27)^DCF!$C$17+DCF!$D$16/(1+G$27)^DCF!$D$17+DCF!$E$16/(1+G$27)^DCF!$E$17+DCF!$F$16/(1+G$27)^DCF!$F$17+'P&amp;L'!$G$13*$B29/(1+G$27)^5+DCF!$B$9)/DCF!$B$10*DCF!$B$11</f>
        <v/>
      </c>
      <c r="H29" s="41">
        <f>(DCF!$B$16/(1+H$27)^DCF!$B$17+DCF!$C$16/(1+H$27)^DCF!$C$17+DCF!$D$16/(1+H$27)^DCF!$D$17+DCF!$E$16/(1+H$27)^DCF!$E$17+DCF!$F$16/(1+H$27)^DCF!$F$17+'P&amp;L'!$G$13*$B29/(1+H$27)^5+DCF!$B$9)/DCF!$B$10*DCF!$B$11</f>
        <v/>
      </c>
      <c r="I29" s="41">
        <f>(DCF!$B$16/(1+I$27)^DCF!$B$17+DCF!$C$16/(1+I$27)^DCF!$C$17+DCF!$D$16/(1+I$27)^DCF!$D$17+DCF!$E$16/(1+I$27)^DCF!$E$17+DCF!$F$16/(1+I$27)^DCF!$F$17+'P&amp;L'!$G$13*$B29/(1+I$27)^5+DCF!$B$9)/DCF!$B$10*DCF!$B$11</f>
        <v/>
      </c>
    </row>
    <row r="30">
      <c r="B30" s="43" t="n">
        <v>9.5</v>
      </c>
      <c r="C30" s="41">
        <f>(DCF!$B$16/(1+C$27)^DCF!$B$17+DCF!$C$16/(1+C$27)^DCF!$C$17+DCF!$D$16/(1+C$27)^DCF!$D$17+DCF!$E$16/(1+C$27)^DCF!$E$17+DCF!$F$16/(1+C$27)^DCF!$F$17+'P&amp;L'!$G$13*$B30/(1+C$27)^5+DCF!$B$9)/DCF!$B$10*DCF!$B$11</f>
        <v/>
      </c>
      <c r="D30" s="41">
        <f>(DCF!$B$16/(1+D$27)^DCF!$B$17+DCF!$C$16/(1+D$27)^DCF!$C$17+DCF!$D$16/(1+D$27)^DCF!$D$17+DCF!$E$16/(1+D$27)^DCF!$E$17+DCF!$F$16/(1+D$27)^DCF!$F$17+'P&amp;L'!$G$13*$B30/(1+D$27)^5+DCF!$B$9)/DCF!$B$10*DCF!$B$11</f>
        <v/>
      </c>
      <c r="E30" s="41">
        <f>(DCF!$B$16/(1+E$27)^DCF!$B$17+DCF!$C$16/(1+E$27)^DCF!$C$17+DCF!$D$16/(1+E$27)^DCF!$D$17+DCF!$E$16/(1+E$27)^DCF!$E$17+DCF!$F$16/(1+E$27)^DCF!$F$17+'P&amp;L'!$G$13*$B30/(1+E$27)^5+DCF!$B$9)/DCF!$B$10*DCF!$B$11</f>
        <v/>
      </c>
      <c r="F30" s="41">
        <f>(DCF!$B$16/(1+F$27)^DCF!$B$17+DCF!$C$16/(1+F$27)^DCF!$C$17+DCF!$D$16/(1+F$27)^DCF!$D$17+DCF!$E$16/(1+F$27)^DCF!$E$17+DCF!$F$16/(1+F$27)^DCF!$F$17+'P&amp;L'!$G$13*$B30/(1+F$27)^5+DCF!$B$9)/DCF!$B$10*DCF!$B$11</f>
        <v/>
      </c>
      <c r="G30" s="41">
        <f>(DCF!$B$16/(1+G$27)^DCF!$B$17+DCF!$C$16/(1+G$27)^DCF!$C$17+DCF!$D$16/(1+G$27)^DCF!$D$17+DCF!$E$16/(1+G$27)^DCF!$E$17+DCF!$F$16/(1+G$27)^DCF!$F$17+'P&amp;L'!$G$13*$B30/(1+G$27)^5+DCF!$B$9)/DCF!$B$10*DCF!$B$11</f>
        <v/>
      </c>
      <c r="H30" s="41">
        <f>(DCF!$B$16/(1+H$27)^DCF!$B$17+DCF!$C$16/(1+H$27)^DCF!$C$17+DCF!$D$16/(1+H$27)^DCF!$D$17+DCF!$E$16/(1+H$27)^DCF!$E$17+DCF!$F$16/(1+H$27)^DCF!$F$17+'P&amp;L'!$G$13*$B30/(1+H$27)^5+DCF!$B$9)/DCF!$B$10*DCF!$B$11</f>
        <v/>
      </c>
      <c r="I30" s="41">
        <f>(DCF!$B$16/(1+I$27)^DCF!$B$17+DCF!$C$16/(1+I$27)^DCF!$C$17+DCF!$D$16/(1+I$27)^DCF!$D$17+DCF!$E$16/(1+I$27)^DCF!$E$17+DCF!$F$16/(1+I$27)^DCF!$F$17+'P&amp;L'!$G$13*$B30/(1+I$27)^5+DCF!$B$9)/DCF!$B$10*DCF!$B$11</f>
        <v/>
      </c>
    </row>
    <row r="31">
      <c r="B31" s="43" t="n">
        <v>10</v>
      </c>
      <c r="C31" s="41">
        <f>(DCF!$B$16/(1+C$27)^DCF!$B$17+DCF!$C$16/(1+C$27)^DCF!$C$17+DCF!$D$16/(1+C$27)^DCF!$D$17+DCF!$E$16/(1+C$27)^DCF!$E$17+DCF!$F$16/(1+C$27)^DCF!$F$17+'P&amp;L'!$G$13*$B31/(1+C$27)^5+DCF!$B$9)/DCF!$B$10*DCF!$B$11</f>
        <v/>
      </c>
      <c r="D31" s="41">
        <f>(DCF!$B$16/(1+D$27)^DCF!$B$17+DCF!$C$16/(1+D$27)^DCF!$C$17+DCF!$D$16/(1+D$27)^DCF!$D$17+DCF!$E$16/(1+D$27)^DCF!$E$17+DCF!$F$16/(1+D$27)^DCF!$F$17+'P&amp;L'!$G$13*$B31/(1+D$27)^5+DCF!$B$9)/DCF!$B$10*DCF!$B$11</f>
        <v/>
      </c>
      <c r="E31" s="41">
        <f>(DCF!$B$16/(1+E$27)^DCF!$B$17+DCF!$C$16/(1+E$27)^DCF!$C$17+DCF!$D$16/(1+E$27)^DCF!$D$17+DCF!$E$16/(1+E$27)^DCF!$E$17+DCF!$F$16/(1+E$27)^DCF!$F$17+'P&amp;L'!$G$13*$B31/(1+E$27)^5+DCF!$B$9)/DCF!$B$10*DCF!$B$11</f>
        <v/>
      </c>
      <c r="F31" s="41">
        <f>(DCF!$B$16/(1+F$27)^DCF!$B$17+DCF!$C$16/(1+F$27)^DCF!$C$17+DCF!$D$16/(1+F$27)^DCF!$D$17+DCF!$E$16/(1+F$27)^DCF!$E$17+DCF!$F$16/(1+F$27)^DCF!$F$17+'P&amp;L'!$G$13*$B31/(1+F$27)^5+DCF!$B$9)/DCF!$B$10*DCF!$B$11</f>
        <v/>
      </c>
      <c r="G31" s="41">
        <f>(DCF!$B$16/(1+G$27)^DCF!$B$17+DCF!$C$16/(1+G$27)^DCF!$C$17+DCF!$D$16/(1+G$27)^DCF!$D$17+DCF!$E$16/(1+G$27)^DCF!$E$17+DCF!$F$16/(1+G$27)^DCF!$F$17+'P&amp;L'!$G$13*$B31/(1+G$27)^5+DCF!$B$9)/DCF!$B$10*DCF!$B$11</f>
        <v/>
      </c>
      <c r="H31" s="41">
        <f>(DCF!$B$16/(1+H$27)^DCF!$B$17+DCF!$C$16/(1+H$27)^DCF!$C$17+DCF!$D$16/(1+H$27)^DCF!$D$17+DCF!$E$16/(1+H$27)^DCF!$E$17+DCF!$F$16/(1+H$27)^DCF!$F$17+'P&amp;L'!$G$13*$B31/(1+H$27)^5+DCF!$B$9)/DCF!$B$10*DCF!$B$11</f>
        <v/>
      </c>
      <c r="I31" s="41">
        <f>(DCF!$B$16/(1+I$27)^DCF!$B$17+DCF!$C$16/(1+I$27)^DCF!$C$17+DCF!$D$16/(1+I$27)^DCF!$D$17+DCF!$E$16/(1+I$27)^DCF!$E$17+DCF!$F$16/(1+I$27)^DCF!$F$17+'P&amp;L'!$G$13*$B31/(1+I$27)^5+DCF!$B$9)/DCF!$B$10*DCF!$B$11</f>
        <v/>
      </c>
    </row>
    <row r="32">
      <c r="B32" s="43" t="n">
        <v>10.5</v>
      </c>
      <c r="C32" s="41">
        <f>(DCF!$B$16/(1+C$27)^DCF!$B$17+DCF!$C$16/(1+C$27)^DCF!$C$17+DCF!$D$16/(1+C$27)^DCF!$D$17+DCF!$E$16/(1+C$27)^DCF!$E$17+DCF!$F$16/(1+C$27)^DCF!$F$17+'P&amp;L'!$G$13*$B32/(1+C$27)^5+DCF!$B$9)/DCF!$B$10*DCF!$B$11</f>
        <v/>
      </c>
      <c r="D32" s="41">
        <f>(DCF!$B$16/(1+D$27)^DCF!$B$17+DCF!$C$16/(1+D$27)^DCF!$C$17+DCF!$D$16/(1+D$27)^DCF!$D$17+DCF!$E$16/(1+D$27)^DCF!$E$17+DCF!$F$16/(1+D$27)^DCF!$F$17+'P&amp;L'!$G$13*$B32/(1+D$27)^5+DCF!$B$9)/DCF!$B$10*DCF!$B$11</f>
        <v/>
      </c>
      <c r="E32" s="41">
        <f>(DCF!$B$16/(1+E$27)^DCF!$B$17+DCF!$C$16/(1+E$27)^DCF!$C$17+DCF!$D$16/(1+E$27)^DCF!$D$17+DCF!$E$16/(1+E$27)^DCF!$E$17+DCF!$F$16/(1+E$27)^DCF!$F$17+'P&amp;L'!$G$13*$B32/(1+E$27)^5+DCF!$B$9)/DCF!$B$10*DCF!$B$11</f>
        <v/>
      </c>
      <c r="F32" s="41">
        <f>(DCF!$B$16/(1+F$27)^DCF!$B$17+DCF!$C$16/(1+F$27)^DCF!$C$17+DCF!$D$16/(1+F$27)^DCF!$D$17+DCF!$E$16/(1+F$27)^DCF!$E$17+DCF!$F$16/(1+F$27)^DCF!$F$17+'P&amp;L'!$G$13*$B32/(1+F$27)^5+DCF!$B$9)/DCF!$B$10*DCF!$B$11</f>
        <v/>
      </c>
      <c r="G32" s="41">
        <f>(DCF!$B$16/(1+G$27)^DCF!$B$17+DCF!$C$16/(1+G$27)^DCF!$C$17+DCF!$D$16/(1+G$27)^DCF!$D$17+DCF!$E$16/(1+G$27)^DCF!$E$17+DCF!$F$16/(1+G$27)^DCF!$F$17+'P&amp;L'!$G$13*$B32/(1+G$27)^5+DCF!$B$9)/DCF!$B$10*DCF!$B$11</f>
        <v/>
      </c>
      <c r="H32" s="41">
        <f>(DCF!$B$16/(1+H$27)^DCF!$B$17+DCF!$C$16/(1+H$27)^DCF!$C$17+DCF!$D$16/(1+H$27)^DCF!$D$17+DCF!$E$16/(1+H$27)^DCF!$E$17+DCF!$F$16/(1+H$27)^DCF!$F$17+'P&amp;L'!$G$13*$B32/(1+H$27)^5+DCF!$B$9)/DCF!$B$10*DCF!$B$11</f>
        <v/>
      </c>
      <c r="I32" s="41">
        <f>(DCF!$B$16/(1+I$27)^DCF!$B$17+DCF!$C$16/(1+I$27)^DCF!$C$17+DCF!$D$16/(1+I$27)^DCF!$D$17+DCF!$E$16/(1+I$27)^DCF!$E$17+DCF!$F$16/(1+I$27)^DCF!$F$17+'P&amp;L'!$G$13*$B32/(1+I$27)^5+DCF!$B$9)/DCF!$B$10*DCF!$B$11</f>
        <v/>
      </c>
    </row>
    <row r="33">
      <c r="B33" s="43" t="n">
        <v>11</v>
      </c>
      <c r="C33" s="41">
        <f>(DCF!$B$16/(1+C$27)^DCF!$B$17+DCF!$C$16/(1+C$27)^DCF!$C$17+DCF!$D$16/(1+C$27)^DCF!$D$17+DCF!$E$16/(1+C$27)^DCF!$E$17+DCF!$F$16/(1+C$27)^DCF!$F$17+'P&amp;L'!$G$13*$B33/(1+C$27)^5+DCF!$B$9)/DCF!$B$10*DCF!$B$11</f>
        <v/>
      </c>
      <c r="D33" s="41">
        <f>(DCF!$B$16/(1+D$27)^DCF!$B$17+DCF!$C$16/(1+D$27)^DCF!$C$17+DCF!$D$16/(1+D$27)^DCF!$D$17+DCF!$E$16/(1+D$27)^DCF!$E$17+DCF!$F$16/(1+D$27)^DCF!$F$17+'P&amp;L'!$G$13*$B33/(1+D$27)^5+DCF!$B$9)/DCF!$B$10*DCF!$B$11</f>
        <v/>
      </c>
      <c r="E33" s="41">
        <f>(DCF!$B$16/(1+E$27)^DCF!$B$17+DCF!$C$16/(1+E$27)^DCF!$C$17+DCF!$D$16/(1+E$27)^DCF!$D$17+DCF!$E$16/(1+E$27)^DCF!$E$17+DCF!$F$16/(1+E$27)^DCF!$F$17+'P&amp;L'!$G$13*$B33/(1+E$27)^5+DCF!$B$9)/DCF!$B$10*DCF!$B$11</f>
        <v/>
      </c>
      <c r="F33" s="41">
        <f>(DCF!$B$16/(1+F$27)^DCF!$B$17+DCF!$C$16/(1+F$27)^DCF!$C$17+DCF!$D$16/(1+F$27)^DCF!$D$17+DCF!$E$16/(1+F$27)^DCF!$E$17+DCF!$F$16/(1+F$27)^DCF!$F$17+'P&amp;L'!$G$13*$B33/(1+F$27)^5+DCF!$B$9)/DCF!$B$10*DCF!$B$11</f>
        <v/>
      </c>
      <c r="G33" s="41">
        <f>(DCF!$B$16/(1+G$27)^DCF!$B$17+DCF!$C$16/(1+G$27)^DCF!$C$17+DCF!$D$16/(1+G$27)^DCF!$D$17+DCF!$E$16/(1+G$27)^DCF!$E$17+DCF!$F$16/(1+G$27)^DCF!$F$17+'P&amp;L'!$G$13*$B33/(1+G$27)^5+DCF!$B$9)/DCF!$B$10*DCF!$B$11</f>
        <v/>
      </c>
      <c r="H33" s="41">
        <f>(DCF!$B$16/(1+H$27)^DCF!$B$17+DCF!$C$16/(1+H$27)^DCF!$C$17+DCF!$D$16/(1+H$27)^DCF!$D$17+DCF!$E$16/(1+H$27)^DCF!$E$17+DCF!$F$16/(1+H$27)^DCF!$F$17+'P&amp;L'!$G$13*$B33/(1+H$27)^5+DCF!$B$9)/DCF!$B$10*DCF!$B$11</f>
        <v/>
      </c>
      <c r="I33" s="41">
        <f>(DCF!$B$16/(1+I$27)^DCF!$B$17+DCF!$C$16/(1+I$27)^DCF!$C$17+DCF!$D$16/(1+I$27)^DCF!$D$17+DCF!$E$16/(1+I$27)^DCF!$E$17+DCF!$F$16/(1+I$27)^DCF!$F$17+'P&amp;L'!$G$13*$B33/(1+I$27)^5+DCF!$B$9)/DCF!$B$10*DCF!$B$11</f>
        <v/>
      </c>
    </row>
    <row r="34">
      <c r="B34" s="43" t="n">
        <v>11.5</v>
      </c>
      <c r="C34" s="41">
        <f>(DCF!$B$16/(1+C$27)^DCF!$B$17+DCF!$C$16/(1+C$27)^DCF!$C$17+DCF!$D$16/(1+C$27)^DCF!$D$17+DCF!$E$16/(1+C$27)^DCF!$E$17+DCF!$F$16/(1+C$27)^DCF!$F$17+'P&amp;L'!$G$13*$B34/(1+C$27)^5+DCF!$B$9)/DCF!$B$10*DCF!$B$11</f>
        <v/>
      </c>
      <c r="D34" s="41">
        <f>(DCF!$B$16/(1+D$27)^DCF!$B$17+DCF!$C$16/(1+D$27)^DCF!$C$17+DCF!$D$16/(1+D$27)^DCF!$D$17+DCF!$E$16/(1+D$27)^DCF!$E$17+DCF!$F$16/(1+D$27)^DCF!$F$17+'P&amp;L'!$G$13*$B34/(1+D$27)^5+DCF!$B$9)/DCF!$B$10*DCF!$B$11</f>
        <v/>
      </c>
      <c r="E34" s="41">
        <f>(DCF!$B$16/(1+E$27)^DCF!$B$17+DCF!$C$16/(1+E$27)^DCF!$C$17+DCF!$D$16/(1+E$27)^DCF!$D$17+DCF!$E$16/(1+E$27)^DCF!$E$17+DCF!$F$16/(1+E$27)^DCF!$F$17+'P&amp;L'!$G$13*$B34/(1+E$27)^5+DCF!$B$9)/DCF!$B$10*DCF!$B$11</f>
        <v/>
      </c>
      <c r="F34" s="41">
        <f>(DCF!$B$16/(1+F$27)^DCF!$B$17+DCF!$C$16/(1+F$27)^DCF!$C$17+DCF!$D$16/(1+F$27)^DCF!$D$17+DCF!$E$16/(1+F$27)^DCF!$E$17+DCF!$F$16/(1+F$27)^DCF!$F$17+'P&amp;L'!$G$13*$B34/(1+F$27)^5+DCF!$B$9)/DCF!$B$10*DCF!$B$11</f>
        <v/>
      </c>
      <c r="G34" s="41">
        <f>(DCF!$B$16/(1+G$27)^DCF!$B$17+DCF!$C$16/(1+G$27)^DCF!$C$17+DCF!$D$16/(1+G$27)^DCF!$D$17+DCF!$E$16/(1+G$27)^DCF!$E$17+DCF!$F$16/(1+G$27)^DCF!$F$17+'P&amp;L'!$G$13*$B34/(1+G$27)^5+DCF!$B$9)/DCF!$B$10*DCF!$B$11</f>
        <v/>
      </c>
      <c r="H34" s="41">
        <f>(DCF!$B$16/(1+H$27)^DCF!$B$17+DCF!$C$16/(1+H$27)^DCF!$C$17+DCF!$D$16/(1+H$27)^DCF!$D$17+DCF!$E$16/(1+H$27)^DCF!$E$17+DCF!$F$16/(1+H$27)^DCF!$F$17+'P&amp;L'!$G$13*$B34/(1+H$27)^5+DCF!$B$9)/DCF!$B$10*DCF!$B$11</f>
        <v/>
      </c>
      <c r="I34" s="41">
        <f>(DCF!$B$16/(1+I$27)^DCF!$B$17+DCF!$C$16/(1+I$27)^DCF!$C$17+DCF!$D$16/(1+I$27)^DCF!$D$17+DCF!$E$16/(1+I$27)^DCF!$E$17+DCF!$F$16/(1+I$27)^DCF!$F$17+'P&amp;L'!$G$13*$B34/(1+I$27)^5+DCF!$B$9)/DCF!$B$10*DCF!$B$11</f>
        <v/>
      </c>
    </row>
    <row r="35">
      <c r="B35" s="3" t="inlineStr">
        <is>
          <t>The exit-multiple method anchors the terminal value to how the market actually prices the sector.</t>
        </is>
      </c>
    </row>
    <row r="36" ht="16" customHeight="1">
      <c r="A36" s="4" t="inlineStr">
        <is>
          <t>TABLE 4  —  EXECUTION RISK:   WACC (across)   x   UNIFORM CHANGE IN FORECAST FCF (down)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B37" s="39" t="inlineStr">
        <is>
          <t>FCF delta  \  WACC</t>
        </is>
      </c>
      <c r="C37" s="40">
        <f>DCF!$B$5-0.0075</f>
        <v/>
      </c>
      <c r="D37" s="40">
        <f>DCF!$B$5-0.0050</f>
        <v/>
      </c>
      <c r="E37" s="40">
        <f>DCF!$B$5-0.0025</f>
        <v/>
      </c>
      <c r="F37" s="40">
        <f>DCF!$B$5+0.0000</f>
        <v/>
      </c>
      <c r="G37" s="40">
        <f>DCF!$B$5+0.0025</f>
        <v/>
      </c>
      <c r="H37" s="40">
        <f>DCF!$B$5+0.0050</f>
        <v/>
      </c>
      <c r="I37" s="40">
        <f>DCF!$B$5+0.0075</f>
        <v/>
      </c>
    </row>
    <row r="38">
      <c r="B38" s="44" t="n">
        <v>-0.2</v>
      </c>
      <c r="C38" s="41">
        <f>((1+$B38)*(DCF!$B$16/(1+C$37)^DCF!$B$17+DCF!$C$16/(1+C$37)^DCF!$C$17+DCF!$D$16/(1+C$37)^DCF!$D$17+DCF!$E$16/(1+C$37)^DCF!$E$17+DCF!$F$16/(1+C$37)^DCF!$F$17+DCF!$F$16*(1+DCF!$B$6)/(C$37-DCF!$B$6)/(1+C$37)^5)+DCF!$B$9)/DCF!$B$10*DCF!$B$11</f>
        <v/>
      </c>
      <c r="D38" s="41">
        <f>((1+$B38)*(DCF!$B$16/(1+D$37)^DCF!$B$17+DCF!$C$16/(1+D$37)^DCF!$C$17+DCF!$D$16/(1+D$37)^DCF!$D$17+DCF!$E$16/(1+D$37)^DCF!$E$17+DCF!$F$16/(1+D$37)^DCF!$F$17+DCF!$F$16*(1+DCF!$B$6)/(D$37-DCF!$B$6)/(1+D$37)^5)+DCF!$B$9)/DCF!$B$10*DCF!$B$11</f>
        <v/>
      </c>
      <c r="E38" s="41">
        <f>((1+$B38)*(DCF!$B$16/(1+E$37)^DCF!$B$17+DCF!$C$16/(1+E$37)^DCF!$C$17+DCF!$D$16/(1+E$37)^DCF!$D$17+DCF!$E$16/(1+E$37)^DCF!$E$17+DCF!$F$16/(1+E$37)^DCF!$F$17+DCF!$F$16*(1+DCF!$B$6)/(E$37-DCF!$B$6)/(1+E$37)^5)+DCF!$B$9)/DCF!$B$10*DCF!$B$11</f>
        <v/>
      </c>
      <c r="F38" s="41">
        <f>((1+$B38)*(DCF!$B$16/(1+F$37)^DCF!$B$17+DCF!$C$16/(1+F$37)^DCF!$C$17+DCF!$D$16/(1+F$37)^DCF!$D$17+DCF!$E$16/(1+F$37)^DCF!$E$17+DCF!$F$16/(1+F$37)^DCF!$F$17+DCF!$F$16*(1+DCF!$B$6)/(F$37-DCF!$B$6)/(1+F$37)^5)+DCF!$B$9)/DCF!$B$10*DCF!$B$11</f>
        <v/>
      </c>
      <c r="G38" s="41">
        <f>((1+$B38)*(DCF!$B$16/(1+G$37)^DCF!$B$17+DCF!$C$16/(1+G$37)^DCF!$C$17+DCF!$D$16/(1+G$37)^DCF!$D$17+DCF!$E$16/(1+G$37)^DCF!$E$17+DCF!$F$16/(1+G$37)^DCF!$F$17+DCF!$F$16*(1+DCF!$B$6)/(G$37-DCF!$B$6)/(1+G$37)^5)+DCF!$B$9)/DCF!$B$10*DCF!$B$11</f>
        <v/>
      </c>
      <c r="H38" s="41">
        <f>((1+$B38)*(DCF!$B$16/(1+H$37)^DCF!$B$17+DCF!$C$16/(1+H$37)^DCF!$C$17+DCF!$D$16/(1+H$37)^DCF!$D$17+DCF!$E$16/(1+H$37)^DCF!$E$17+DCF!$F$16/(1+H$37)^DCF!$F$17+DCF!$F$16*(1+DCF!$B$6)/(H$37-DCF!$B$6)/(1+H$37)^5)+DCF!$B$9)/DCF!$B$10*DCF!$B$11</f>
        <v/>
      </c>
      <c r="I38" s="41">
        <f>((1+$B38)*(DCF!$B$16/(1+I$37)^DCF!$B$17+DCF!$C$16/(1+I$37)^DCF!$C$17+DCF!$D$16/(1+I$37)^DCF!$D$17+DCF!$E$16/(1+I$37)^DCF!$E$17+DCF!$F$16/(1+I$37)^DCF!$F$17+DCF!$F$16*(1+DCF!$B$6)/(I$37-DCF!$B$6)/(1+I$37)^5)+DCF!$B$9)/DCF!$B$10*DCF!$B$11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39">
      <c r="B39" s="44" t="n">
        <v>-0.15</v>
      </c>
      <c r="C39" s="41">
        <f>((1+$B39)*(DCF!$B$16/(1+C$37)^DCF!$B$17+DCF!$C$16/(1+C$37)^DCF!$C$17+DCF!$D$16/(1+C$37)^DCF!$D$17+DCF!$E$16/(1+C$37)^DCF!$E$17+DCF!$F$16/(1+C$37)^DCF!$F$17+DCF!$F$16*(1+DCF!$B$6)/(C$37-DCF!$B$6)/(1+C$37)^5)+DCF!$B$9)/DCF!$B$10*DCF!$B$11</f>
        <v/>
      </c>
      <c r="D39" s="41">
        <f>((1+$B39)*(DCF!$B$16/(1+D$37)^DCF!$B$17+DCF!$C$16/(1+D$37)^DCF!$C$17+DCF!$D$16/(1+D$37)^DCF!$D$17+DCF!$E$16/(1+D$37)^DCF!$E$17+DCF!$F$16/(1+D$37)^DCF!$F$17+DCF!$F$16*(1+DCF!$B$6)/(D$37-DCF!$B$6)/(1+D$37)^5)+DCF!$B$9)/DCF!$B$10*DCF!$B$11</f>
        <v/>
      </c>
      <c r="E39" s="41">
        <f>((1+$B39)*(DCF!$B$16/(1+E$37)^DCF!$B$17+DCF!$C$16/(1+E$37)^DCF!$C$17+DCF!$D$16/(1+E$37)^DCF!$D$17+DCF!$E$16/(1+E$37)^DCF!$E$17+DCF!$F$16/(1+E$37)^DCF!$F$17+DCF!$F$16*(1+DCF!$B$6)/(E$37-DCF!$B$6)/(1+E$37)^5)+DCF!$B$9)/DCF!$B$10*DCF!$B$11</f>
        <v/>
      </c>
      <c r="F39" s="41">
        <f>((1+$B39)*(DCF!$B$16/(1+F$37)^DCF!$B$17+DCF!$C$16/(1+F$37)^DCF!$C$17+DCF!$D$16/(1+F$37)^DCF!$D$17+DCF!$E$16/(1+F$37)^DCF!$E$17+DCF!$F$16/(1+F$37)^DCF!$F$17+DCF!$F$16*(1+DCF!$B$6)/(F$37-DCF!$B$6)/(1+F$37)^5)+DCF!$B$9)/DCF!$B$10*DCF!$B$11</f>
        <v/>
      </c>
      <c r="G39" s="41">
        <f>((1+$B39)*(DCF!$B$16/(1+G$37)^DCF!$B$17+DCF!$C$16/(1+G$37)^DCF!$C$17+DCF!$D$16/(1+G$37)^DCF!$D$17+DCF!$E$16/(1+G$37)^DCF!$E$17+DCF!$F$16/(1+G$37)^DCF!$F$17+DCF!$F$16*(1+DCF!$B$6)/(G$37-DCF!$B$6)/(1+G$37)^5)+DCF!$B$9)/DCF!$B$10*DCF!$B$11</f>
        <v/>
      </c>
      <c r="H39" s="41">
        <f>((1+$B39)*(DCF!$B$16/(1+H$37)^DCF!$B$17+DCF!$C$16/(1+H$37)^DCF!$C$17+DCF!$D$16/(1+H$37)^DCF!$D$17+DCF!$E$16/(1+H$37)^DCF!$E$17+DCF!$F$16/(1+H$37)^DCF!$F$17+DCF!$F$16*(1+DCF!$B$6)/(H$37-DCF!$B$6)/(1+H$37)^5)+DCF!$B$9)/DCF!$B$10*DCF!$B$11</f>
        <v/>
      </c>
      <c r="I39" s="41">
        <f>((1+$B39)*(DCF!$B$16/(1+I$37)^DCF!$B$17+DCF!$C$16/(1+I$37)^DCF!$C$17+DCF!$D$16/(1+I$37)^DCF!$D$17+DCF!$E$16/(1+I$37)^DCF!$E$17+DCF!$F$16/(1+I$37)^DCF!$F$17+DCF!$F$16*(1+DCF!$B$6)/(I$37-DCF!$B$6)/(1+I$37)^5)+DCF!$B$9)/DCF!$B$10*DCF!$B$11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0">
      <c r="B40" s="44" t="n">
        <v>-0.1</v>
      </c>
      <c r="C40" s="41">
        <f>((1+$B40)*(DCF!$B$16/(1+C$37)^DCF!$B$17+DCF!$C$16/(1+C$37)^DCF!$C$17+DCF!$D$16/(1+C$37)^DCF!$D$17+DCF!$E$16/(1+C$37)^DCF!$E$17+DCF!$F$16/(1+C$37)^DCF!$F$17+DCF!$F$16*(1+DCF!$B$6)/(C$37-DCF!$B$6)/(1+C$37)^5)+DCF!$B$9)/DCF!$B$10*DCF!$B$11</f>
        <v/>
      </c>
      <c r="D40" s="41">
        <f>((1+$B40)*(DCF!$B$16/(1+D$37)^DCF!$B$17+DCF!$C$16/(1+D$37)^DCF!$C$17+DCF!$D$16/(1+D$37)^DCF!$D$17+DCF!$E$16/(1+D$37)^DCF!$E$17+DCF!$F$16/(1+D$37)^DCF!$F$17+DCF!$F$16*(1+DCF!$B$6)/(D$37-DCF!$B$6)/(1+D$37)^5)+DCF!$B$9)/DCF!$B$10*DCF!$B$11</f>
        <v/>
      </c>
      <c r="E40" s="41">
        <f>((1+$B40)*(DCF!$B$16/(1+E$37)^DCF!$B$17+DCF!$C$16/(1+E$37)^DCF!$C$17+DCF!$D$16/(1+E$37)^DCF!$D$17+DCF!$E$16/(1+E$37)^DCF!$E$17+DCF!$F$16/(1+E$37)^DCF!$F$17+DCF!$F$16*(1+DCF!$B$6)/(E$37-DCF!$B$6)/(1+E$37)^5)+DCF!$B$9)/DCF!$B$10*DCF!$B$11</f>
        <v/>
      </c>
      <c r="F40" s="41">
        <f>((1+$B40)*(DCF!$B$16/(1+F$37)^DCF!$B$17+DCF!$C$16/(1+F$37)^DCF!$C$17+DCF!$D$16/(1+F$37)^DCF!$D$17+DCF!$E$16/(1+F$37)^DCF!$E$17+DCF!$F$16/(1+F$37)^DCF!$F$17+DCF!$F$16*(1+DCF!$B$6)/(F$37-DCF!$B$6)/(1+F$37)^5)+DCF!$B$9)/DCF!$B$10*DCF!$B$11</f>
        <v/>
      </c>
      <c r="G40" s="41">
        <f>((1+$B40)*(DCF!$B$16/(1+G$37)^DCF!$B$17+DCF!$C$16/(1+G$37)^DCF!$C$17+DCF!$D$16/(1+G$37)^DCF!$D$17+DCF!$E$16/(1+G$37)^DCF!$E$17+DCF!$F$16/(1+G$37)^DCF!$F$17+DCF!$F$16*(1+DCF!$B$6)/(G$37-DCF!$B$6)/(1+G$37)^5)+DCF!$B$9)/DCF!$B$10*DCF!$B$11</f>
        <v/>
      </c>
      <c r="H40" s="41">
        <f>((1+$B40)*(DCF!$B$16/(1+H$37)^DCF!$B$17+DCF!$C$16/(1+H$37)^DCF!$C$17+DCF!$D$16/(1+H$37)^DCF!$D$17+DCF!$E$16/(1+H$37)^DCF!$E$17+DCF!$F$16/(1+H$37)^DCF!$F$17+DCF!$F$16*(1+DCF!$B$6)/(H$37-DCF!$B$6)/(1+H$37)^5)+DCF!$B$9)/DCF!$B$10*DCF!$B$11</f>
        <v/>
      </c>
      <c r="I40" s="41">
        <f>((1+$B40)*(DCF!$B$16/(1+I$37)^DCF!$B$17+DCF!$C$16/(1+I$37)^DCF!$C$17+DCF!$D$16/(1+I$37)^DCF!$D$17+DCF!$E$16/(1+I$37)^DCF!$E$17+DCF!$F$16/(1+I$37)^DCF!$F$17+DCF!$F$16*(1+DCF!$B$6)/(I$37-DCF!$B$6)/(1+I$37)^5)+DCF!$B$9)/DCF!$B$10*DCF!$B$11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1">
      <c r="B41" s="44" t="n">
        <v>-0.05</v>
      </c>
      <c r="C41" s="41">
        <f>((1+$B41)*(DCF!$B$16/(1+C$37)^DCF!$B$17+DCF!$C$16/(1+C$37)^DCF!$C$17+DCF!$D$16/(1+C$37)^DCF!$D$17+DCF!$E$16/(1+C$37)^DCF!$E$17+DCF!$F$16/(1+C$37)^DCF!$F$17+DCF!$F$16*(1+DCF!$B$6)/(C$37-DCF!$B$6)/(1+C$37)^5)+DCF!$B$9)/DCF!$B$10*DCF!$B$11</f>
        <v/>
      </c>
      <c r="D41" s="41">
        <f>((1+$B41)*(DCF!$B$16/(1+D$37)^DCF!$B$17+DCF!$C$16/(1+D$37)^DCF!$C$17+DCF!$D$16/(1+D$37)^DCF!$D$17+DCF!$E$16/(1+D$37)^DCF!$E$17+DCF!$F$16/(1+D$37)^DCF!$F$17+DCF!$F$16*(1+DCF!$B$6)/(D$37-DCF!$B$6)/(1+D$37)^5)+DCF!$B$9)/DCF!$B$10*DCF!$B$11</f>
        <v/>
      </c>
      <c r="E41" s="41">
        <f>((1+$B41)*(DCF!$B$16/(1+E$37)^DCF!$B$17+DCF!$C$16/(1+E$37)^DCF!$C$17+DCF!$D$16/(1+E$37)^DCF!$D$17+DCF!$E$16/(1+E$37)^DCF!$E$17+DCF!$F$16/(1+E$37)^DCF!$F$17+DCF!$F$16*(1+DCF!$B$6)/(E$37-DCF!$B$6)/(1+E$37)^5)+DCF!$B$9)/DCF!$B$10*DCF!$B$11</f>
        <v/>
      </c>
      <c r="F41" s="41">
        <f>((1+$B41)*(DCF!$B$16/(1+F$37)^DCF!$B$17+DCF!$C$16/(1+F$37)^DCF!$C$17+DCF!$D$16/(1+F$37)^DCF!$D$17+DCF!$E$16/(1+F$37)^DCF!$E$17+DCF!$F$16/(1+F$37)^DCF!$F$17+DCF!$F$16*(1+DCF!$B$6)/(F$37-DCF!$B$6)/(1+F$37)^5)+DCF!$B$9)/DCF!$B$10*DCF!$B$11</f>
        <v/>
      </c>
      <c r="G41" s="41">
        <f>((1+$B41)*(DCF!$B$16/(1+G$37)^DCF!$B$17+DCF!$C$16/(1+G$37)^DCF!$C$17+DCF!$D$16/(1+G$37)^DCF!$D$17+DCF!$E$16/(1+G$37)^DCF!$E$17+DCF!$F$16/(1+G$37)^DCF!$F$17+DCF!$F$16*(1+DCF!$B$6)/(G$37-DCF!$B$6)/(1+G$37)^5)+DCF!$B$9)/DCF!$B$10*DCF!$B$11</f>
        <v/>
      </c>
      <c r="H41" s="41">
        <f>((1+$B41)*(DCF!$B$16/(1+H$37)^DCF!$B$17+DCF!$C$16/(1+H$37)^DCF!$C$17+DCF!$D$16/(1+H$37)^DCF!$D$17+DCF!$E$16/(1+H$37)^DCF!$E$17+DCF!$F$16/(1+H$37)^DCF!$F$17+DCF!$F$16*(1+DCF!$B$6)/(H$37-DCF!$B$6)/(1+H$37)^5)+DCF!$B$9)/DCF!$B$10*DCF!$B$11</f>
        <v/>
      </c>
      <c r="I41" s="41">
        <f>((1+$B41)*(DCF!$B$16/(1+I$37)^DCF!$B$17+DCF!$C$16/(1+I$37)^DCF!$C$17+DCF!$D$16/(1+I$37)^DCF!$D$17+DCF!$E$16/(1+I$37)^DCF!$E$17+DCF!$F$16/(1+I$37)^DCF!$F$17+DCF!$F$16*(1+DCF!$B$6)/(I$37-DCF!$B$6)/(1+I$37)^5)+DCF!$B$9)/DCF!$B$10*DCF!$B$11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2">
      <c r="B42" s="44" t="n">
        <v>0</v>
      </c>
      <c r="C42" s="41">
        <f>((1+$B42)*(DCF!$B$16/(1+C$37)^DCF!$B$17+DCF!$C$16/(1+C$37)^DCF!$C$17+DCF!$D$16/(1+C$37)^DCF!$D$17+DCF!$E$16/(1+C$37)^DCF!$E$17+DCF!$F$16/(1+C$37)^DCF!$F$17+DCF!$F$16*(1+DCF!$B$6)/(C$37-DCF!$B$6)/(1+C$37)^5)+DCF!$B$9)/DCF!$B$10*DCF!$B$11</f>
        <v/>
      </c>
      <c r="D42" s="41">
        <f>((1+$B42)*(DCF!$B$16/(1+D$37)^DCF!$B$17+DCF!$C$16/(1+D$37)^DCF!$C$17+DCF!$D$16/(1+D$37)^DCF!$D$17+DCF!$E$16/(1+D$37)^DCF!$E$17+DCF!$F$16/(1+D$37)^DCF!$F$17+DCF!$F$16*(1+DCF!$B$6)/(D$37-DCF!$B$6)/(1+D$37)^5)+DCF!$B$9)/DCF!$B$10*DCF!$B$11</f>
        <v/>
      </c>
      <c r="E42" s="41">
        <f>((1+$B42)*(DCF!$B$16/(1+E$37)^DCF!$B$17+DCF!$C$16/(1+E$37)^DCF!$C$17+DCF!$D$16/(1+E$37)^DCF!$D$17+DCF!$E$16/(1+E$37)^DCF!$E$17+DCF!$F$16/(1+E$37)^DCF!$F$17+DCF!$F$16*(1+DCF!$B$6)/(E$37-DCF!$B$6)/(1+E$37)^5)+DCF!$B$9)/DCF!$B$10*DCF!$B$11</f>
        <v/>
      </c>
      <c r="F42" s="41">
        <f>((1+$B42)*(DCF!$B$16/(1+F$37)^DCF!$B$17+DCF!$C$16/(1+F$37)^DCF!$C$17+DCF!$D$16/(1+F$37)^DCF!$D$17+DCF!$E$16/(1+F$37)^DCF!$E$17+DCF!$F$16/(1+F$37)^DCF!$F$17+DCF!$F$16*(1+DCF!$B$6)/(F$37-DCF!$B$6)/(1+F$37)^5)+DCF!$B$9)/DCF!$B$10*DCF!$B$11</f>
        <v/>
      </c>
      <c r="G42" s="41">
        <f>((1+$B42)*(DCF!$B$16/(1+G$37)^DCF!$B$17+DCF!$C$16/(1+G$37)^DCF!$C$17+DCF!$D$16/(1+G$37)^DCF!$D$17+DCF!$E$16/(1+G$37)^DCF!$E$17+DCF!$F$16/(1+G$37)^DCF!$F$17+DCF!$F$16*(1+DCF!$B$6)/(G$37-DCF!$B$6)/(1+G$37)^5)+DCF!$B$9)/DCF!$B$10*DCF!$B$11</f>
        <v/>
      </c>
      <c r="H42" s="41">
        <f>((1+$B42)*(DCF!$B$16/(1+H$37)^DCF!$B$17+DCF!$C$16/(1+H$37)^DCF!$C$17+DCF!$D$16/(1+H$37)^DCF!$D$17+DCF!$E$16/(1+H$37)^DCF!$E$17+DCF!$F$16/(1+H$37)^DCF!$F$17+DCF!$F$16*(1+DCF!$B$6)/(H$37-DCF!$B$6)/(1+H$37)^5)+DCF!$B$9)/DCF!$B$10*DCF!$B$11</f>
        <v/>
      </c>
      <c r="I42" s="41">
        <f>((1+$B42)*(DCF!$B$16/(1+I$37)^DCF!$B$17+DCF!$C$16/(1+I$37)^DCF!$C$17+DCF!$D$16/(1+I$37)^DCF!$D$17+DCF!$E$16/(1+I$37)^DCF!$E$17+DCF!$F$16/(1+I$37)^DCF!$F$17+DCF!$F$16*(1+DCF!$B$6)/(I$37-DCF!$B$6)/(1+I$37)^5)+DCF!$B$9)/DCF!$B$10*DCF!$B$11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3">
      <c r="B43" s="44" t="n">
        <v>0.05</v>
      </c>
      <c r="C43" s="41">
        <f>((1+$B43)*(DCF!$B$16/(1+C$37)^DCF!$B$17+DCF!$C$16/(1+C$37)^DCF!$C$17+DCF!$D$16/(1+C$37)^DCF!$D$17+DCF!$E$16/(1+C$37)^DCF!$E$17+DCF!$F$16/(1+C$37)^DCF!$F$17+DCF!$F$16*(1+DCF!$B$6)/(C$37-DCF!$B$6)/(1+C$37)^5)+DCF!$B$9)/DCF!$B$10*DCF!$B$11</f>
        <v/>
      </c>
      <c r="D43" s="41">
        <f>((1+$B43)*(DCF!$B$16/(1+D$37)^DCF!$B$17+DCF!$C$16/(1+D$37)^DCF!$C$17+DCF!$D$16/(1+D$37)^DCF!$D$17+DCF!$E$16/(1+D$37)^DCF!$E$17+DCF!$F$16/(1+D$37)^DCF!$F$17+DCF!$F$16*(1+DCF!$B$6)/(D$37-DCF!$B$6)/(1+D$37)^5)+DCF!$B$9)/DCF!$B$10*DCF!$B$11</f>
        <v/>
      </c>
      <c r="E43" s="41">
        <f>((1+$B43)*(DCF!$B$16/(1+E$37)^DCF!$B$17+DCF!$C$16/(1+E$37)^DCF!$C$17+DCF!$D$16/(1+E$37)^DCF!$D$17+DCF!$E$16/(1+E$37)^DCF!$E$17+DCF!$F$16/(1+E$37)^DCF!$F$17+DCF!$F$16*(1+DCF!$B$6)/(E$37-DCF!$B$6)/(1+E$37)^5)+DCF!$B$9)/DCF!$B$10*DCF!$B$11</f>
        <v/>
      </c>
      <c r="F43" s="41">
        <f>((1+$B43)*(DCF!$B$16/(1+F$37)^DCF!$B$17+DCF!$C$16/(1+F$37)^DCF!$C$17+DCF!$D$16/(1+F$37)^DCF!$D$17+DCF!$E$16/(1+F$37)^DCF!$E$17+DCF!$F$16/(1+F$37)^DCF!$F$17+DCF!$F$16*(1+DCF!$B$6)/(F$37-DCF!$B$6)/(1+F$37)^5)+DCF!$B$9)/DCF!$B$10*DCF!$B$11</f>
        <v/>
      </c>
      <c r="G43" s="41">
        <f>((1+$B43)*(DCF!$B$16/(1+G$37)^DCF!$B$17+DCF!$C$16/(1+G$37)^DCF!$C$17+DCF!$D$16/(1+G$37)^DCF!$D$17+DCF!$E$16/(1+G$37)^DCF!$E$17+DCF!$F$16/(1+G$37)^DCF!$F$17+DCF!$F$16*(1+DCF!$B$6)/(G$37-DCF!$B$6)/(1+G$37)^5)+DCF!$B$9)/DCF!$B$10*DCF!$B$11</f>
        <v/>
      </c>
      <c r="H43" s="41">
        <f>((1+$B43)*(DCF!$B$16/(1+H$37)^DCF!$B$17+DCF!$C$16/(1+H$37)^DCF!$C$17+DCF!$D$16/(1+H$37)^DCF!$D$17+DCF!$E$16/(1+H$37)^DCF!$E$17+DCF!$F$16/(1+H$37)^DCF!$F$17+DCF!$F$16*(1+DCF!$B$6)/(H$37-DCF!$B$6)/(1+H$37)^5)+DCF!$B$9)/DCF!$B$10*DCF!$B$11</f>
        <v/>
      </c>
      <c r="I43" s="41">
        <f>((1+$B43)*(DCF!$B$16/(1+I$37)^DCF!$B$17+DCF!$C$16/(1+I$37)^DCF!$C$17+DCF!$D$16/(1+I$37)^DCF!$D$17+DCF!$E$16/(1+I$37)^DCF!$E$17+DCF!$F$16/(1+I$37)^DCF!$F$17+DCF!$F$16*(1+DCF!$B$6)/(I$37-DCF!$B$6)/(1+I$37)^5)+DCF!$B$9)/DCF!$B$10*DCF!$B$11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4">
      <c r="B44" s="44" t="n">
        <v>0.1</v>
      </c>
      <c r="C44" s="41">
        <f>((1+$B44)*(DCF!$B$16/(1+C$37)^DCF!$B$17+DCF!$C$16/(1+C$37)^DCF!$C$17+DCF!$D$16/(1+C$37)^DCF!$D$17+DCF!$E$16/(1+C$37)^DCF!$E$17+DCF!$F$16/(1+C$37)^DCF!$F$17+DCF!$F$16*(1+DCF!$B$6)/(C$37-DCF!$B$6)/(1+C$37)^5)+DCF!$B$9)/DCF!$B$10*DCF!$B$11</f>
        <v/>
      </c>
      <c r="D44" s="41">
        <f>((1+$B44)*(DCF!$B$16/(1+D$37)^DCF!$B$17+DCF!$C$16/(1+D$37)^DCF!$C$17+DCF!$D$16/(1+D$37)^DCF!$D$17+DCF!$E$16/(1+D$37)^DCF!$E$17+DCF!$F$16/(1+D$37)^DCF!$F$17+DCF!$F$16*(1+DCF!$B$6)/(D$37-DCF!$B$6)/(1+D$37)^5)+DCF!$B$9)/DCF!$B$10*DCF!$B$11</f>
        <v/>
      </c>
      <c r="E44" s="41">
        <f>((1+$B44)*(DCF!$B$16/(1+E$37)^DCF!$B$17+DCF!$C$16/(1+E$37)^DCF!$C$17+DCF!$D$16/(1+E$37)^DCF!$D$17+DCF!$E$16/(1+E$37)^DCF!$E$17+DCF!$F$16/(1+E$37)^DCF!$F$17+DCF!$F$16*(1+DCF!$B$6)/(E$37-DCF!$B$6)/(1+E$37)^5)+DCF!$B$9)/DCF!$B$10*DCF!$B$11</f>
        <v/>
      </c>
      <c r="F44" s="41">
        <f>((1+$B44)*(DCF!$B$16/(1+F$37)^DCF!$B$17+DCF!$C$16/(1+F$37)^DCF!$C$17+DCF!$D$16/(1+F$37)^DCF!$D$17+DCF!$E$16/(1+F$37)^DCF!$E$17+DCF!$F$16/(1+F$37)^DCF!$F$17+DCF!$F$16*(1+DCF!$B$6)/(F$37-DCF!$B$6)/(1+F$37)^5)+DCF!$B$9)/DCF!$B$10*DCF!$B$11</f>
        <v/>
      </c>
      <c r="G44" s="41">
        <f>((1+$B44)*(DCF!$B$16/(1+G$37)^DCF!$B$17+DCF!$C$16/(1+G$37)^DCF!$C$17+DCF!$D$16/(1+G$37)^DCF!$D$17+DCF!$E$16/(1+G$37)^DCF!$E$17+DCF!$F$16/(1+G$37)^DCF!$F$17+DCF!$F$16*(1+DCF!$B$6)/(G$37-DCF!$B$6)/(1+G$37)^5)+DCF!$B$9)/DCF!$B$10*DCF!$B$11</f>
        <v/>
      </c>
      <c r="H44" s="41">
        <f>((1+$B44)*(DCF!$B$16/(1+H$37)^DCF!$B$17+DCF!$C$16/(1+H$37)^DCF!$C$17+DCF!$D$16/(1+H$37)^DCF!$D$17+DCF!$E$16/(1+H$37)^DCF!$E$17+DCF!$F$16/(1+H$37)^DCF!$F$17+DCF!$F$16*(1+DCF!$B$6)/(H$37-DCF!$B$6)/(1+H$37)^5)+DCF!$B$9)/DCF!$B$10*DCF!$B$11</f>
        <v/>
      </c>
      <c r="I44" s="41">
        <f>((1+$B44)*(DCF!$B$16/(1+I$37)^DCF!$B$17+DCF!$C$16/(1+I$37)^DCF!$C$17+DCF!$D$16/(1+I$37)^DCF!$D$17+DCF!$E$16/(1+I$37)^DCF!$E$17+DCF!$F$16/(1+I$37)^DCF!$F$17+DCF!$F$16*(1+DCF!$B$6)/(I$37-DCF!$B$6)/(1+I$37)^5)+DCF!$B$9)/DCF!$B$10*DCF!$B$11</f>
        <v/>
      </c>
    </row>
    <row r="45">
      <c r="B45" s="3" t="inlineStr">
        <is>
          <t>Answers the question a director actually asks: how wrong can my cash flow forecast be before the thesis breaks?</t>
        </is>
      </c>
    </row>
  </sheetData>
  <conditionalFormatting sqref="C8:I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I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I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8:I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I7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15" customWidth="1" min="8" max="8"/>
    <col width="50" customWidth="1" min="9" max="9"/>
  </cols>
  <sheetData>
    <row r="1" ht="20" customHeight="1">
      <c r="A1" s="20" t="inlineStr">
        <is>
          <t>SCENARIO ANALYSIS  —  BEAR / BASE / BULL</t>
        </is>
      </c>
    </row>
    <row r="2">
      <c r="A2" s="21" t="inlineStr">
        <is>
          <t>Three live parallel models. They do NOT depend on the switch in Assumptions!B7, so all three are visible at once.</t>
        </is>
      </c>
    </row>
    <row r="7" ht="16" customHeight="1">
      <c r="A7" s="4" t="inlineStr">
        <is>
          <t>BEAR CASE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22" t="inlineStr">
        <is>
          <t>EUR m</t>
        </is>
      </c>
      <c r="B8" s="23" t="inlineStr">
        <is>
          <t>2026E</t>
        </is>
      </c>
      <c r="C8" s="23" t="inlineStr">
        <is>
          <t>2027E</t>
        </is>
      </c>
      <c r="D8" s="23" t="inlineStr">
        <is>
          <t>2028E</t>
        </is>
      </c>
      <c r="E8" s="23" t="inlineStr">
        <is>
          <t>2029E</t>
        </is>
      </c>
      <c r="F8" s="23" t="inlineStr">
        <is>
          <t>2030E</t>
        </is>
      </c>
      <c r="G8" s="23" t="inlineStr"/>
      <c r="H8" s="23" t="inlineStr">
        <is>
          <t>Valuation</t>
        </is>
      </c>
    </row>
    <row r="9">
      <c r="A9" s="5" t="inlineStr">
        <is>
          <t>MW delivered</t>
        </is>
      </c>
      <c r="B9" s="32">
        <f>Assumptions!C45</f>
        <v/>
      </c>
      <c r="C9" s="32">
        <f>Assumptions!D45</f>
        <v/>
      </c>
      <c r="D9" s="32">
        <f>Assumptions!E45</f>
        <v/>
      </c>
      <c r="E9" s="32">
        <f>Assumptions!F45</f>
        <v/>
      </c>
      <c r="F9" s="32">
        <f>Assumptions!G45</f>
        <v/>
      </c>
    </row>
    <row r="10">
      <c r="A10" s="8" t="inlineStr">
        <is>
          <t>Revenue</t>
        </is>
      </c>
      <c r="B10" s="32">
        <f>B9*Assumptions!C12+Assumptions!C14</f>
        <v/>
      </c>
      <c r="C10" s="32">
        <f>C9*Assumptions!D12+Assumptions!D14</f>
        <v/>
      </c>
      <c r="D10" s="32">
        <f>D9*Assumptions!E12+Assumptions!E14</f>
        <v/>
      </c>
      <c r="E10" s="32">
        <f>E9*Assumptions!F12+Assumptions!F14</f>
        <v/>
      </c>
      <c r="F10" s="32">
        <f>F9*Assumptions!G12+Assumptions!G14</f>
        <v/>
      </c>
    </row>
    <row r="11">
      <c r="A11" s="5" t="inlineStr">
        <is>
          <t>Revenue growth %</t>
        </is>
      </c>
      <c r="B11" s="35">
        <f>B10/Historical!$F$7-1</f>
        <v/>
      </c>
      <c r="C11" s="35">
        <f>C10/B10-1</f>
        <v/>
      </c>
      <c r="D11" s="35">
        <f>D10/C10-1</f>
        <v/>
      </c>
      <c r="E11" s="35">
        <f>E10/D10-1</f>
        <v/>
      </c>
      <c r="F11" s="35">
        <f>F10/E10-1</f>
        <v/>
      </c>
    </row>
    <row r="12">
      <c r="A12" s="5" t="inlineStr">
        <is>
          <t>Gross margin %</t>
        </is>
      </c>
      <c r="B12" s="35">
        <f>Assumptions!C48</f>
        <v/>
      </c>
      <c r="C12" s="35">
        <f>Assumptions!D48</f>
        <v/>
      </c>
      <c r="D12" s="35">
        <f>Assumptions!E48</f>
        <v/>
      </c>
      <c r="E12" s="35">
        <f>Assumptions!F48</f>
        <v/>
      </c>
      <c r="F12" s="35">
        <f>Assumptions!G48</f>
        <v/>
      </c>
    </row>
    <row r="13">
      <c r="A13" s="5" t="inlineStr">
        <is>
          <t>EBITDA</t>
        </is>
      </c>
      <c r="B13" s="32">
        <f>B10*(B12-Assumptions!C22)</f>
        <v/>
      </c>
      <c r="C13" s="32">
        <f>C10*(C12-Assumptions!D22)</f>
        <v/>
      </c>
      <c r="D13" s="32">
        <f>D10*(D12-Assumptions!E22)</f>
        <v/>
      </c>
      <c r="E13" s="32">
        <f>E10*(E12-Assumptions!F22)</f>
        <v/>
      </c>
      <c r="F13" s="32">
        <f>F10*(F12-Assumptions!G22)</f>
        <v/>
      </c>
    </row>
    <row r="14">
      <c r="A14" s="8" t="inlineStr">
        <is>
          <t>EBIT</t>
        </is>
      </c>
      <c r="B14" s="32">
        <f>B13-B10*Assumptions!C24</f>
        <v/>
      </c>
      <c r="C14" s="32">
        <f>C13-C10*Assumptions!D24</f>
        <v/>
      </c>
      <c r="D14" s="32">
        <f>D13-D10*Assumptions!E24</f>
        <v/>
      </c>
      <c r="E14" s="32">
        <f>E13-E10*Assumptions!F24</f>
        <v/>
      </c>
      <c r="F14" s="32">
        <f>F13-F10*Assumptions!G24</f>
        <v/>
      </c>
    </row>
    <row r="15">
      <c r="A15" s="5" t="inlineStr">
        <is>
          <t>EBIT margin %</t>
        </is>
      </c>
      <c r="B15" s="35">
        <f>B14/B10</f>
        <v/>
      </c>
      <c r="C15" s="35">
        <f>C14/C10</f>
        <v/>
      </c>
      <c r="D15" s="35">
        <f>D14/D10</f>
        <v/>
      </c>
      <c r="E15" s="35">
        <f>E14/E10</f>
        <v/>
      </c>
      <c r="F15" s="35">
        <f>F14/F10</f>
        <v/>
      </c>
    </row>
    <row r="16">
      <c r="A16" s="5" t="inlineStr">
        <is>
          <t>NOPAT</t>
        </is>
      </c>
      <c r="B16" s="32">
        <f>B14*(1-Assumptions!C35)</f>
        <v/>
      </c>
      <c r="C16" s="32">
        <f>C14*(1-Assumptions!D35)</f>
        <v/>
      </c>
      <c r="D16" s="32">
        <f>D14*(1-Assumptions!E35)</f>
        <v/>
      </c>
      <c r="E16" s="32">
        <f>E14*(1-Assumptions!F35)</f>
        <v/>
      </c>
      <c r="F16" s="32">
        <f>F14*(1-Assumptions!G35)</f>
        <v/>
      </c>
    </row>
    <row r="17">
      <c r="A17" s="5" t="inlineStr">
        <is>
          <t>(-) Capex</t>
        </is>
      </c>
      <c r="B17" s="32">
        <f>B10*Assumptions!C29</f>
        <v/>
      </c>
      <c r="C17" s="32">
        <f>C10*Assumptions!D29</f>
        <v/>
      </c>
      <c r="D17" s="32">
        <f>D10*Assumptions!E29</f>
        <v/>
      </c>
      <c r="E17" s="32">
        <f>E10*Assumptions!F29</f>
        <v/>
      </c>
      <c r="F17" s="32">
        <f>F10*Assumptions!G29</f>
        <v/>
      </c>
    </row>
    <row r="18">
      <c r="A18" s="5" t="inlineStr">
        <is>
          <t>(-) Change in NWC</t>
        </is>
      </c>
      <c r="B18" s="32">
        <f>B10*Assumptions!C32-Historical!$F$26</f>
        <v/>
      </c>
      <c r="C18" s="32">
        <f>C10*Assumptions!D32-B10*Assumptions!C32</f>
        <v/>
      </c>
      <c r="D18" s="32">
        <f>D10*Assumptions!E32-C10*Assumptions!D32</f>
        <v/>
      </c>
      <c r="E18" s="32">
        <f>E10*Assumptions!F32-D10*Assumptions!E32</f>
        <v/>
      </c>
      <c r="F18" s="32">
        <f>F10*Assumptions!G32-E10*Assumptions!F32</f>
        <v/>
      </c>
    </row>
    <row r="19">
      <c r="A19" s="8" t="inlineStr">
        <is>
          <t>UNLEVERED FCF</t>
        </is>
      </c>
      <c r="B19" s="32">
        <f>B16+B10*Assumptions!C24-B17-B18</f>
        <v/>
      </c>
      <c r="C19" s="32">
        <f>C16+C10*Assumptions!D24-C17-C18</f>
        <v/>
      </c>
      <c r="D19" s="32">
        <f>D16+D10*Assumptions!E24-D17-D18</f>
        <v/>
      </c>
      <c r="E19" s="32">
        <f>E16+E10*Assumptions!F24-E17-E18</f>
        <v/>
      </c>
      <c r="F19" s="32">
        <f>F16+F10*Assumptions!G24-F17-F18</f>
        <v/>
      </c>
    </row>
    <row r="20">
      <c r="A20" s="5" t="inlineStr">
        <is>
          <t>PV of FCF</t>
        </is>
      </c>
      <c r="B20" s="32">
        <f>B19*DCF!B$18</f>
        <v/>
      </c>
      <c r="C20" s="32">
        <f>C19*DCF!C$18</f>
        <v/>
      </c>
      <c r="D20" s="32">
        <f>D19*DCF!D$18</f>
        <v/>
      </c>
      <c r="E20" s="32">
        <f>E19*DCF!E$18</f>
        <v/>
      </c>
      <c r="F20" s="32">
        <f>F19*DCF!F$18</f>
        <v/>
      </c>
      <c r="H20" s="32">
        <f>SUM(B20:F20)</f>
        <v/>
      </c>
    </row>
    <row r="21">
      <c r="A21" s="5" t="inlineStr">
        <is>
          <t>Terminal value (Gordon)</t>
        </is>
      </c>
      <c r="H21" s="32">
        <f>F19*(1+DCF!$B$6)/(DCF!$B$5-DCF!$B$6)</f>
        <v/>
      </c>
    </row>
    <row r="22">
      <c r="A22" s="5" t="inlineStr">
        <is>
          <t>PV of terminal value</t>
        </is>
      </c>
      <c r="H22" s="32">
        <f>H21*DCF!$F$24</f>
        <v/>
      </c>
    </row>
    <row r="23">
      <c r="A23" s="8" t="inlineStr">
        <is>
          <t>Enterprise value</t>
        </is>
      </c>
      <c r="H23" s="33">
        <f>H20+H22</f>
        <v/>
      </c>
    </row>
    <row r="24">
      <c r="A24" s="5" t="inlineStr">
        <is>
          <t>Equity value</t>
        </is>
      </c>
      <c r="H24" s="32">
        <f>H23+DCF!$B$9</f>
        <v/>
      </c>
    </row>
    <row r="25">
      <c r="A25" s="8" t="inlineStr">
        <is>
          <t>Implied price per share (DKK)</t>
        </is>
      </c>
      <c r="H25" s="36">
        <f>H24/DCF!$B$10*DCF!$B$11</f>
        <v/>
      </c>
    </row>
    <row r="26">
      <c r="A26" s="8" t="inlineStr">
        <is>
          <t>Upside / (downside)</t>
        </is>
      </c>
      <c r="H26" s="37">
        <f>H25/DCF!$B$12-1</f>
        <v/>
      </c>
    </row>
    <row r="28" ht="16" customHeight="1">
      <c r="A28" s="4" t="inlineStr">
        <is>
          <t>BASE CASE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22" t="inlineStr">
        <is>
          <t>EUR m</t>
        </is>
      </c>
      <c r="B29" s="23" t="inlineStr">
        <is>
          <t>2026E</t>
        </is>
      </c>
      <c r="C29" s="23" t="inlineStr">
        <is>
          <t>2027E</t>
        </is>
      </c>
      <c r="D29" s="23" t="inlineStr">
        <is>
          <t>2028E</t>
        </is>
      </c>
      <c r="E29" s="23" t="inlineStr">
        <is>
          <t>2029E</t>
        </is>
      </c>
      <c r="F29" s="23" t="inlineStr">
        <is>
          <t>2030E</t>
        </is>
      </c>
      <c r="G29" s="23" t="inlineStr"/>
      <c r="H29" s="23" t="inlineStr">
        <is>
          <t>Valuation</t>
        </is>
      </c>
    </row>
    <row r="30">
      <c r="A30" s="5" t="inlineStr">
        <is>
          <t>MW delivered</t>
        </is>
      </c>
      <c r="B30" s="32">
        <f>Assumptions!C46</f>
        <v/>
      </c>
      <c r="C30" s="32">
        <f>Assumptions!D46</f>
        <v/>
      </c>
      <c r="D30" s="32">
        <f>Assumptions!E46</f>
        <v/>
      </c>
      <c r="E30" s="32">
        <f>Assumptions!F46</f>
        <v/>
      </c>
      <c r="F30" s="32">
        <f>Assumptions!G46</f>
        <v/>
      </c>
    </row>
    <row r="31">
      <c r="A31" s="8" t="inlineStr">
        <is>
          <t>Revenue</t>
        </is>
      </c>
      <c r="B31" s="32">
        <f>B30*Assumptions!C12+Assumptions!C14</f>
        <v/>
      </c>
      <c r="C31" s="32">
        <f>C30*Assumptions!D12+Assumptions!D14</f>
        <v/>
      </c>
      <c r="D31" s="32">
        <f>D30*Assumptions!E12+Assumptions!E14</f>
        <v/>
      </c>
      <c r="E31" s="32">
        <f>E30*Assumptions!F12+Assumptions!F14</f>
        <v/>
      </c>
      <c r="F31" s="32">
        <f>F30*Assumptions!G12+Assumptions!G14</f>
        <v/>
      </c>
    </row>
    <row r="32">
      <c r="A32" s="5" t="inlineStr">
        <is>
          <t>Revenue growth %</t>
        </is>
      </c>
      <c r="B32" s="35">
        <f>B31/Historical!$F$7-1</f>
        <v/>
      </c>
      <c r="C32" s="35">
        <f>C31/B31-1</f>
        <v/>
      </c>
      <c r="D32" s="35">
        <f>D31/C31-1</f>
        <v/>
      </c>
      <c r="E32" s="35">
        <f>E31/D31-1</f>
        <v/>
      </c>
      <c r="F32" s="35">
        <f>F31/E31-1</f>
        <v/>
      </c>
    </row>
    <row r="33">
      <c r="A33" s="5" t="inlineStr">
        <is>
          <t>Gross margin %</t>
        </is>
      </c>
      <c r="B33" s="35">
        <f>Assumptions!C49</f>
        <v/>
      </c>
      <c r="C33" s="35">
        <f>Assumptions!D49</f>
        <v/>
      </c>
      <c r="D33" s="35">
        <f>Assumptions!E49</f>
        <v/>
      </c>
      <c r="E33" s="35">
        <f>Assumptions!F49</f>
        <v/>
      </c>
      <c r="F33" s="35">
        <f>Assumptions!G49</f>
        <v/>
      </c>
    </row>
    <row r="34">
      <c r="A34" s="5" t="inlineStr">
        <is>
          <t>EBITDA</t>
        </is>
      </c>
      <c r="B34" s="32">
        <f>B31*(B33-Assumptions!C22)</f>
        <v/>
      </c>
      <c r="C34" s="32">
        <f>C31*(C33-Assumptions!D22)</f>
        <v/>
      </c>
      <c r="D34" s="32">
        <f>D31*(D33-Assumptions!E22)</f>
        <v/>
      </c>
      <c r="E34" s="32">
        <f>E31*(E33-Assumptions!F22)</f>
        <v/>
      </c>
      <c r="F34" s="32">
        <f>F31*(F33-Assumptions!G22)</f>
        <v/>
      </c>
    </row>
    <row r="35">
      <c r="A35" s="8" t="inlineStr">
        <is>
          <t>EBIT</t>
        </is>
      </c>
      <c r="B35" s="32">
        <f>B34-B31*Assumptions!C24</f>
        <v/>
      </c>
      <c r="C35" s="32">
        <f>C34-C31*Assumptions!D24</f>
        <v/>
      </c>
      <c r="D35" s="32">
        <f>D34-D31*Assumptions!E24</f>
        <v/>
      </c>
      <c r="E35" s="32">
        <f>E34-E31*Assumptions!F24</f>
        <v/>
      </c>
      <c r="F35" s="32">
        <f>F34-F31*Assumptions!G24</f>
        <v/>
      </c>
    </row>
    <row r="36">
      <c r="A36" s="5" t="inlineStr">
        <is>
          <t>EBIT margin %</t>
        </is>
      </c>
      <c r="B36" s="35">
        <f>B35/B31</f>
        <v/>
      </c>
      <c r="C36" s="35">
        <f>C35/C31</f>
        <v/>
      </c>
      <c r="D36" s="35">
        <f>D35/D31</f>
        <v/>
      </c>
      <c r="E36" s="35">
        <f>E35/E31</f>
        <v/>
      </c>
      <c r="F36" s="35">
        <f>F35/F31</f>
        <v/>
      </c>
    </row>
    <row r="37">
      <c r="A37" s="5" t="inlineStr">
        <is>
          <t>NOPAT</t>
        </is>
      </c>
      <c r="B37" s="32">
        <f>B35*(1-Assumptions!C35)</f>
        <v/>
      </c>
      <c r="C37" s="32">
        <f>C35*(1-Assumptions!D35)</f>
        <v/>
      </c>
      <c r="D37" s="32">
        <f>D35*(1-Assumptions!E35)</f>
        <v/>
      </c>
      <c r="E37" s="32">
        <f>E35*(1-Assumptions!F35)</f>
        <v/>
      </c>
      <c r="F37" s="32">
        <f>F35*(1-Assumptions!G35)</f>
        <v/>
      </c>
    </row>
    <row r="38">
      <c r="A38" s="5" t="inlineStr">
        <is>
          <t>(-) Capex</t>
        </is>
      </c>
      <c r="B38" s="32">
        <f>B31*Assumptions!C29</f>
        <v/>
      </c>
      <c r="C38" s="32">
        <f>C31*Assumptions!D29</f>
        <v/>
      </c>
      <c r="D38" s="32">
        <f>D31*Assumptions!E29</f>
        <v/>
      </c>
      <c r="E38" s="32">
        <f>E31*Assumptions!F29</f>
        <v/>
      </c>
      <c r="F38" s="32">
        <f>F31*Assumptions!G29</f>
        <v/>
      </c>
    </row>
    <row r="39">
      <c r="A39" s="5" t="inlineStr">
        <is>
          <t>(-) Change in NWC</t>
        </is>
      </c>
      <c r="B39" s="32">
        <f>B31*Assumptions!C32-Historical!$F$26</f>
        <v/>
      </c>
      <c r="C39" s="32">
        <f>C31*Assumptions!D32-B31*Assumptions!C32</f>
        <v/>
      </c>
      <c r="D39" s="32">
        <f>D31*Assumptions!E32-C31*Assumptions!D32</f>
        <v/>
      </c>
      <c r="E39" s="32">
        <f>E31*Assumptions!F32-D31*Assumptions!E32</f>
        <v/>
      </c>
      <c r="F39" s="32">
        <f>F31*Assumptions!G32-E31*Assumptions!F32</f>
        <v/>
      </c>
    </row>
    <row r="40">
      <c r="A40" s="8" t="inlineStr">
        <is>
          <t>UNLEVERED FCF</t>
        </is>
      </c>
      <c r="B40" s="32">
        <f>B37+B31*Assumptions!C24-B38-B39</f>
        <v/>
      </c>
      <c r="C40" s="32">
        <f>C37+C31*Assumptions!D24-C38-C39</f>
        <v/>
      </c>
      <c r="D40" s="32">
        <f>D37+D31*Assumptions!E24-D38-D39</f>
        <v/>
      </c>
      <c r="E40" s="32">
        <f>E37+E31*Assumptions!F24-E38-E39</f>
        <v/>
      </c>
      <c r="F40" s="32">
        <f>F37+F31*Assumptions!G24-F38-F39</f>
        <v/>
      </c>
    </row>
    <row r="41">
      <c r="A41" s="5" t="inlineStr">
        <is>
          <t>PV of FCF</t>
        </is>
      </c>
      <c r="B41" s="32">
        <f>B40*DCF!B$18</f>
        <v/>
      </c>
      <c r="C41" s="32">
        <f>C40*DCF!C$18</f>
        <v/>
      </c>
      <c r="D41" s="32">
        <f>D40*DCF!D$18</f>
        <v/>
      </c>
      <c r="E41" s="32">
        <f>E40*DCF!E$18</f>
        <v/>
      </c>
      <c r="F41" s="32">
        <f>F40*DCF!F$18</f>
        <v/>
      </c>
      <c r="H41" s="32">
        <f>SUM(B41:F41)</f>
        <v/>
      </c>
    </row>
    <row r="42">
      <c r="A42" s="5" t="inlineStr">
        <is>
          <t>Terminal value (Gordon)</t>
        </is>
      </c>
      <c r="H42" s="32">
        <f>F40*(1+DCF!$B$6)/(DCF!$B$5-DCF!$B$6)</f>
        <v/>
      </c>
    </row>
    <row r="43">
      <c r="A43" s="5" t="inlineStr">
        <is>
          <t>PV of terminal value</t>
        </is>
      </c>
      <c r="H43" s="32">
        <f>H42*DCF!$F$24</f>
        <v/>
      </c>
    </row>
    <row r="44">
      <c r="A44" s="8" t="inlineStr">
        <is>
          <t>Enterprise value</t>
        </is>
      </c>
      <c r="H44" s="33">
        <f>H41+H43</f>
        <v/>
      </c>
    </row>
    <row r="45">
      <c r="A45" s="5" t="inlineStr">
        <is>
          <t>Equity value</t>
        </is>
      </c>
      <c r="H45" s="32">
        <f>H44+DCF!$B$9</f>
        <v/>
      </c>
    </row>
    <row r="46">
      <c r="A46" s="8" t="inlineStr">
        <is>
          <t>Implied price per share (DKK)</t>
        </is>
      </c>
      <c r="H46" s="36">
        <f>H45/DCF!$B$10*DCF!$B$11</f>
        <v/>
      </c>
    </row>
    <row r="47">
      <c r="A47" s="8" t="inlineStr">
        <is>
          <t>Upside / (downside)</t>
        </is>
      </c>
      <c r="H47" s="37">
        <f>H46/DCF!$B$12-1</f>
        <v/>
      </c>
    </row>
    <row r="49" ht="16" customHeight="1">
      <c r="A49" s="4" t="inlineStr">
        <is>
          <t>BULL CASE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22" t="inlineStr">
        <is>
          <t>EUR m</t>
        </is>
      </c>
      <c r="B50" s="23" t="inlineStr">
        <is>
          <t>2026E</t>
        </is>
      </c>
      <c r="C50" s="23" t="inlineStr">
        <is>
          <t>2027E</t>
        </is>
      </c>
      <c r="D50" s="23" t="inlineStr">
        <is>
          <t>2028E</t>
        </is>
      </c>
      <c r="E50" s="23" t="inlineStr">
        <is>
          <t>2029E</t>
        </is>
      </c>
      <c r="F50" s="23" t="inlineStr">
        <is>
          <t>2030E</t>
        </is>
      </c>
      <c r="G50" s="23" t="inlineStr"/>
      <c r="H50" s="23" t="inlineStr">
        <is>
          <t>Valuation</t>
        </is>
      </c>
    </row>
    <row r="51">
      <c r="A51" s="5" t="inlineStr">
        <is>
          <t>MW delivered</t>
        </is>
      </c>
      <c r="B51" s="32">
        <f>Assumptions!C47</f>
        <v/>
      </c>
      <c r="C51" s="32">
        <f>Assumptions!D47</f>
        <v/>
      </c>
      <c r="D51" s="32">
        <f>Assumptions!E47</f>
        <v/>
      </c>
      <c r="E51" s="32">
        <f>Assumptions!F47</f>
        <v/>
      </c>
      <c r="F51" s="32">
        <f>Assumptions!G47</f>
        <v/>
      </c>
    </row>
    <row r="52">
      <c r="A52" s="8" t="inlineStr">
        <is>
          <t>Revenue</t>
        </is>
      </c>
      <c r="B52" s="32">
        <f>B51*Assumptions!C12+Assumptions!C14</f>
        <v/>
      </c>
      <c r="C52" s="32">
        <f>C51*Assumptions!D12+Assumptions!D14</f>
        <v/>
      </c>
      <c r="D52" s="32">
        <f>D51*Assumptions!E12+Assumptions!E14</f>
        <v/>
      </c>
      <c r="E52" s="32">
        <f>E51*Assumptions!F12+Assumptions!F14</f>
        <v/>
      </c>
      <c r="F52" s="32">
        <f>F51*Assumptions!G12+Assumptions!G14</f>
        <v/>
      </c>
    </row>
    <row r="53">
      <c r="A53" s="5" t="inlineStr">
        <is>
          <t>Revenue growth %</t>
        </is>
      </c>
      <c r="B53" s="35">
        <f>B52/Historical!$F$7-1</f>
        <v/>
      </c>
      <c r="C53" s="35">
        <f>C52/B52-1</f>
        <v/>
      </c>
      <c r="D53" s="35">
        <f>D52/C52-1</f>
        <v/>
      </c>
      <c r="E53" s="35">
        <f>E52/D52-1</f>
        <v/>
      </c>
      <c r="F53" s="35">
        <f>F52/E52-1</f>
        <v/>
      </c>
    </row>
    <row r="54">
      <c r="A54" s="5" t="inlineStr">
        <is>
          <t>Gross margin %</t>
        </is>
      </c>
      <c r="B54" s="35">
        <f>Assumptions!C50</f>
        <v/>
      </c>
      <c r="C54" s="35">
        <f>Assumptions!D50</f>
        <v/>
      </c>
      <c r="D54" s="35">
        <f>Assumptions!E50</f>
        <v/>
      </c>
      <c r="E54" s="35">
        <f>Assumptions!F50</f>
        <v/>
      </c>
      <c r="F54" s="35">
        <f>Assumptions!G50</f>
        <v/>
      </c>
    </row>
    <row r="55">
      <c r="A55" s="5" t="inlineStr">
        <is>
          <t>EBITDA</t>
        </is>
      </c>
      <c r="B55" s="32">
        <f>B52*(B54-Assumptions!C22)</f>
        <v/>
      </c>
      <c r="C55" s="32">
        <f>C52*(C54-Assumptions!D22)</f>
        <v/>
      </c>
      <c r="D55" s="32">
        <f>D52*(D54-Assumptions!E22)</f>
        <v/>
      </c>
      <c r="E55" s="32">
        <f>E52*(E54-Assumptions!F22)</f>
        <v/>
      </c>
      <c r="F55" s="32">
        <f>F52*(F54-Assumptions!G22)</f>
        <v/>
      </c>
    </row>
    <row r="56">
      <c r="A56" s="8" t="inlineStr">
        <is>
          <t>EBIT</t>
        </is>
      </c>
      <c r="B56" s="32">
        <f>B55-B52*Assumptions!C24</f>
        <v/>
      </c>
      <c r="C56" s="32">
        <f>C55-C52*Assumptions!D24</f>
        <v/>
      </c>
      <c r="D56" s="32">
        <f>D55-D52*Assumptions!E24</f>
        <v/>
      </c>
      <c r="E56" s="32">
        <f>E55-E52*Assumptions!F24</f>
        <v/>
      </c>
      <c r="F56" s="32">
        <f>F55-F52*Assumptions!G24</f>
        <v/>
      </c>
    </row>
    <row r="57">
      <c r="A57" s="5" t="inlineStr">
        <is>
          <t>EBIT margin %</t>
        </is>
      </c>
      <c r="B57" s="35">
        <f>B56/B52</f>
        <v/>
      </c>
      <c r="C57" s="35">
        <f>C56/C52</f>
        <v/>
      </c>
      <c r="D57" s="35">
        <f>D56/D52</f>
        <v/>
      </c>
      <c r="E57" s="35">
        <f>E56/E52</f>
        <v/>
      </c>
      <c r="F57" s="35">
        <f>F56/F52</f>
        <v/>
      </c>
    </row>
    <row r="58">
      <c r="A58" s="5" t="inlineStr">
        <is>
          <t>NOPAT</t>
        </is>
      </c>
      <c r="B58" s="32">
        <f>B56*(1-Assumptions!C35)</f>
        <v/>
      </c>
      <c r="C58" s="32">
        <f>C56*(1-Assumptions!D35)</f>
        <v/>
      </c>
      <c r="D58" s="32">
        <f>D56*(1-Assumptions!E35)</f>
        <v/>
      </c>
      <c r="E58" s="32">
        <f>E56*(1-Assumptions!F35)</f>
        <v/>
      </c>
      <c r="F58" s="32">
        <f>F56*(1-Assumptions!G35)</f>
        <v/>
      </c>
    </row>
    <row r="59">
      <c r="A59" s="5" t="inlineStr">
        <is>
          <t>(-) Capex</t>
        </is>
      </c>
      <c r="B59" s="32">
        <f>B52*Assumptions!C29</f>
        <v/>
      </c>
      <c r="C59" s="32">
        <f>C52*Assumptions!D29</f>
        <v/>
      </c>
      <c r="D59" s="32">
        <f>D52*Assumptions!E29</f>
        <v/>
      </c>
      <c r="E59" s="32">
        <f>E52*Assumptions!F29</f>
        <v/>
      </c>
      <c r="F59" s="32">
        <f>F52*Assumptions!G29</f>
        <v/>
      </c>
    </row>
    <row r="60">
      <c r="A60" s="5" t="inlineStr">
        <is>
          <t>(-) Change in NWC</t>
        </is>
      </c>
      <c r="B60" s="32">
        <f>B52*Assumptions!C32-Historical!$F$26</f>
        <v/>
      </c>
      <c r="C60" s="32">
        <f>C52*Assumptions!D32-B52*Assumptions!C32</f>
        <v/>
      </c>
      <c r="D60" s="32">
        <f>D52*Assumptions!E32-C52*Assumptions!D32</f>
        <v/>
      </c>
      <c r="E60" s="32">
        <f>E52*Assumptions!F32-D52*Assumptions!E32</f>
        <v/>
      </c>
      <c r="F60" s="32">
        <f>F52*Assumptions!G32-E52*Assumptions!F32</f>
        <v/>
      </c>
    </row>
    <row r="61">
      <c r="A61" s="8" t="inlineStr">
        <is>
          <t>UNLEVERED FCF</t>
        </is>
      </c>
      <c r="B61" s="32">
        <f>B58+B52*Assumptions!C24-B59-B60</f>
        <v/>
      </c>
      <c r="C61" s="32">
        <f>C58+C52*Assumptions!D24-C59-C60</f>
        <v/>
      </c>
      <c r="D61" s="32">
        <f>D58+D52*Assumptions!E24-D59-D60</f>
        <v/>
      </c>
      <c r="E61" s="32">
        <f>E58+E52*Assumptions!F24-E59-E60</f>
        <v/>
      </c>
      <c r="F61" s="32">
        <f>F58+F52*Assumptions!G24-F59-F60</f>
        <v/>
      </c>
    </row>
    <row r="62">
      <c r="A62" s="5" t="inlineStr">
        <is>
          <t>PV of FCF</t>
        </is>
      </c>
      <c r="B62" s="32">
        <f>B61*DCF!B$18</f>
        <v/>
      </c>
      <c r="C62" s="32">
        <f>C61*DCF!C$18</f>
        <v/>
      </c>
      <c r="D62" s="32">
        <f>D61*DCF!D$18</f>
        <v/>
      </c>
      <c r="E62" s="32">
        <f>E61*DCF!E$18</f>
        <v/>
      </c>
      <c r="F62" s="32">
        <f>F61*DCF!F$18</f>
        <v/>
      </c>
      <c r="H62" s="32">
        <f>SUM(B62:F62)</f>
        <v/>
      </c>
    </row>
    <row r="63">
      <c r="A63" s="5" t="inlineStr">
        <is>
          <t>Terminal value (Gordon)</t>
        </is>
      </c>
      <c r="H63" s="32">
        <f>F61*(1+DCF!$B$6)/(DCF!$B$5-DCF!$B$6)</f>
        <v/>
      </c>
    </row>
    <row r="64">
      <c r="A64" s="5" t="inlineStr">
        <is>
          <t>PV of terminal value</t>
        </is>
      </c>
      <c r="H64" s="32">
        <f>H63*DCF!$F$24</f>
        <v/>
      </c>
    </row>
    <row r="65">
      <c r="A65" s="8" t="inlineStr">
        <is>
          <t>Enterprise value</t>
        </is>
      </c>
      <c r="H65" s="33">
        <f>H62+H64</f>
        <v/>
      </c>
    </row>
    <row r="66">
      <c r="A66" s="5" t="inlineStr">
        <is>
          <t>Equity value</t>
        </is>
      </c>
      <c r="H66" s="32">
        <f>H65+DCF!$B$9</f>
        <v/>
      </c>
    </row>
    <row r="67">
      <c r="A67" s="8" t="inlineStr">
        <is>
          <t>Implied price per share (DKK)</t>
        </is>
      </c>
      <c r="H67" s="36">
        <f>H66/DCF!$B$10*DCF!$B$11</f>
        <v/>
      </c>
    </row>
    <row r="68">
      <c r="A68" s="8" t="inlineStr">
        <is>
          <t>Upside / (downside)</t>
        </is>
      </c>
      <c r="H68" s="37">
        <f>H67/DCF!$B$12-1</f>
        <v/>
      </c>
    </row>
    <row r="70" ht="16" customHeight="1">
      <c r="A70" s="4" t="inlineStr">
        <is>
          <t>SCENARIO SUMMARY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22" t="inlineStr"/>
      <c r="B71" s="23" t="inlineStr">
        <is>
          <t>Bear</t>
        </is>
      </c>
      <c r="C71" s="23" t="inlineStr">
        <is>
          <t>Base</t>
        </is>
      </c>
      <c r="D71" s="23" t="inlineStr">
        <is>
          <t>Bull</t>
        </is>
      </c>
      <c r="E71" s="23" t="inlineStr">
        <is>
          <t>Current price</t>
        </is>
      </c>
      <c r="F71" s="23" t="inlineStr"/>
      <c r="G71" s="23" t="inlineStr"/>
    </row>
    <row r="72">
      <c r="A72" s="8" t="inlineStr">
        <is>
          <t>2030E revenue (EUR m)</t>
        </is>
      </c>
      <c r="B72" s="45">
        <f>F10</f>
        <v/>
      </c>
      <c r="C72" s="45">
        <f>F31</f>
        <v/>
      </c>
      <c r="D72" s="45">
        <f>F52</f>
        <v/>
      </c>
    </row>
    <row r="73">
      <c r="A73" s="8" t="inlineStr">
        <is>
          <t>2030E EBIT margin</t>
        </is>
      </c>
      <c r="B73" s="42">
        <f>F15</f>
        <v/>
      </c>
      <c r="C73" s="42">
        <f>F36</f>
        <v/>
      </c>
      <c r="D73" s="42">
        <f>F57</f>
        <v/>
      </c>
    </row>
    <row r="74">
      <c r="A74" s="8" t="inlineStr">
        <is>
          <t>2030E unlevered FCF (EUR m)</t>
        </is>
      </c>
      <c r="B74" s="45">
        <f>F19</f>
        <v/>
      </c>
      <c r="C74" s="45">
        <f>F40</f>
        <v/>
      </c>
      <c r="D74" s="45">
        <f>F61</f>
        <v/>
      </c>
    </row>
    <row r="75">
      <c r="A75" s="8" t="inlineStr">
        <is>
          <t>Enterprise value (EUR m)</t>
        </is>
      </c>
      <c r="B75" s="45">
        <f>H23</f>
        <v/>
      </c>
      <c r="C75" s="45">
        <f>H44</f>
        <v/>
      </c>
      <c r="D75" s="45">
        <f>H65</f>
        <v/>
      </c>
    </row>
    <row r="76">
      <c r="A76" s="8" t="inlineStr">
        <is>
          <t>Equity value (EUR m)</t>
        </is>
      </c>
      <c r="B76" s="45">
        <f>H24</f>
        <v/>
      </c>
      <c r="C76" s="45">
        <f>H45</f>
        <v/>
      </c>
      <c r="D76" s="45">
        <f>H66</f>
        <v/>
      </c>
    </row>
    <row r="77">
      <c r="A77" s="8" t="inlineStr">
        <is>
          <t>Implied price per share (DKK)</t>
        </is>
      </c>
      <c r="B77" s="41">
        <f>H25</f>
        <v/>
      </c>
      <c r="C77" s="41">
        <f>H46</f>
        <v/>
      </c>
      <c r="D77" s="41">
        <f>H67</f>
        <v/>
      </c>
      <c r="E77" s="9">
        <f>DCF!$B$12</f>
        <v/>
      </c>
    </row>
    <row r="78">
      <c r="A78" s="8" t="inlineStr">
        <is>
          <t>Upside / (downside)</t>
        </is>
      </c>
      <c r="B78" s="42">
        <f>H26</f>
        <v/>
      </c>
      <c r="C78" s="42">
        <f>H47</f>
        <v/>
      </c>
      <c r="D78" s="42">
        <f>H68</f>
        <v/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9" customWidth="1" min="4" max="4"/>
    <col width="11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0" customWidth="1" min="11" max="11"/>
    <col width="11" customWidth="1" min="12" max="12"/>
    <col width="9" customWidth="1" min="13" max="13"/>
    <col width="10" customWidth="1" min="14" max="14"/>
    <col width="16" customWidth="1" min="15" max="15"/>
  </cols>
  <sheetData>
    <row r="1" ht="20" customHeight="1">
      <c r="A1" s="20" t="inlineStr">
        <is>
          <t>TRADING COMPARABLES</t>
        </is>
      </c>
    </row>
    <row r="2">
      <c r="A2" s="21" t="inlineStr">
        <is>
          <t>Peer set is deliberately small and honest. Add GE Vernova, Goldwind and TPI Composites when you can source clean data.</t>
        </is>
      </c>
    </row>
    <row r="4">
      <c r="A4" s="22" t="inlineStr">
        <is>
          <t>Company</t>
        </is>
      </c>
      <c r="B4" s="23" t="inlineStr">
        <is>
          <t>Ticker</t>
        </is>
      </c>
      <c r="C4" s="23" t="inlineStr">
        <is>
          <t>Price (local)</t>
        </is>
      </c>
      <c r="D4" s="23" t="inlineStr">
        <is>
          <t>FX/EUR</t>
        </is>
      </c>
      <c r="E4" s="23" t="inlineStr">
        <is>
          <t>Shares (m)</t>
        </is>
      </c>
      <c r="F4" s="23" t="inlineStr">
        <is>
          <t>Mkt cap (EURm)</t>
        </is>
      </c>
      <c r="G4" s="39" t="inlineStr">
        <is>
          <t>Net debt/(cash)</t>
        </is>
      </c>
      <c r="H4" s="23" t="inlineStr">
        <is>
          <t>EV (EURm)</t>
        </is>
      </c>
      <c r="I4" s="23" t="inlineStr">
        <is>
          <t>Revenue TTM</t>
        </is>
      </c>
      <c r="J4" s="23" t="inlineStr">
        <is>
          <t>EBITDA TTM</t>
        </is>
      </c>
      <c r="K4" s="23" t="inlineStr">
        <is>
          <t>EV/Rev</t>
        </is>
      </c>
      <c r="L4" s="23" t="inlineStr">
        <is>
          <t>EV/EBITDA</t>
        </is>
      </c>
      <c r="M4" s="23" t="inlineStr">
        <is>
          <t>P/E</t>
        </is>
      </c>
      <c r="N4" s="23" t="inlineStr">
        <is>
          <t>Fwd P/E</t>
        </is>
      </c>
      <c r="O4" s="23" t="inlineStr">
        <is>
          <t>Data as of</t>
        </is>
      </c>
    </row>
    <row r="5">
      <c r="A5" s="8" t="inlineStr">
        <is>
          <t>Vestas Wind Systems</t>
        </is>
      </c>
      <c r="B5" s="5" t="inlineStr">
        <is>
          <t>CPH:VWS</t>
        </is>
      </c>
      <c r="C5" s="25" t="n">
        <v>204.5</v>
      </c>
      <c r="D5" s="25" t="n">
        <v>7.46</v>
      </c>
      <c r="E5" s="46" t="n">
        <v>982.6</v>
      </c>
      <c r="F5" s="32">
        <f>C5*E5/D5</f>
        <v/>
      </c>
      <c r="G5" s="47" t="n">
        <v>-1174</v>
      </c>
      <c r="H5" s="32">
        <f>F5+G5</f>
        <v/>
      </c>
      <c r="I5" s="47" t="n">
        <v>20342</v>
      </c>
      <c r="J5" s="47" t="n">
        <v>2091</v>
      </c>
      <c r="K5" s="34">
        <f>H5/I5</f>
        <v/>
      </c>
      <c r="L5" s="34">
        <f>H5/J5</f>
        <v/>
      </c>
      <c r="M5" s="46" t="n">
        <v>25.67</v>
      </c>
      <c r="N5" s="46" t="n">
        <v>18.73</v>
      </c>
      <c r="O5" s="48" t="inlineStr">
        <is>
          <t>14-Aug-2026</t>
        </is>
      </c>
    </row>
    <row r="6">
      <c r="A6" s="5" t="inlineStr">
        <is>
          <t>Nordex SE</t>
        </is>
      </c>
      <c r="B6" s="5" t="inlineStr">
        <is>
          <t>ETR:NDX1</t>
        </is>
      </c>
      <c r="C6" s="25" t="n">
        <v>40.62</v>
      </c>
      <c r="D6" s="25" t="n">
        <v>1</v>
      </c>
      <c r="E6" s="46" t="n">
        <v>238.1</v>
      </c>
      <c r="F6" s="32">
        <f>C6*E6/D6</f>
        <v/>
      </c>
      <c r="G6" s="47" t="n">
        <v>-1360</v>
      </c>
      <c r="H6" s="32">
        <f>F6+G6</f>
        <v/>
      </c>
      <c r="I6" s="47" t="n">
        <v>7710</v>
      </c>
      <c r="J6" s="47" t="n">
        <v>702</v>
      </c>
      <c r="K6" s="34">
        <f>H6/I6</f>
        <v/>
      </c>
      <c r="L6" s="34">
        <f>H6/J6</f>
        <v/>
      </c>
      <c r="M6" s="46" t="n">
        <v>31.58</v>
      </c>
      <c r="N6" s="46" t="n">
        <v>17.24</v>
      </c>
      <c r="O6" s="48" t="inlineStr">
        <is>
          <t>05-Jun-2026</t>
        </is>
      </c>
    </row>
    <row r="7">
      <c r="A7" s="5" t="inlineStr">
        <is>
          <t>Siemens Energy AG</t>
        </is>
      </c>
      <c r="B7" s="5" t="inlineStr">
        <is>
          <t>ETR:ENR</t>
        </is>
      </c>
      <c r="C7" s="25" t="n">
        <v>152.58</v>
      </c>
      <c r="D7" s="25" t="n">
        <v>1</v>
      </c>
      <c r="E7" s="46" t="n">
        <v>865.2</v>
      </c>
      <c r="F7" s="32">
        <f>C7*E7/D7</f>
        <v/>
      </c>
      <c r="G7" s="47" t="n">
        <v>-8130</v>
      </c>
      <c r="H7" s="32">
        <f>F7+G7</f>
        <v/>
      </c>
      <c r="I7" s="47" t="n">
        <v>41840</v>
      </c>
      <c r="J7" s="47" t="n">
        <v>4610</v>
      </c>
      <c r="K7" s="34">
        <f>H7/I7</f>
        <v/>
      </c>
      <c r="L7" s="34">
        <f>H7/J7</f>
        <v/>
      </c>
      <c r="M7" s="46" t="n">
        <v>50.2</v>
      </c>
      <c r="N7" s="46" t="n">
        <v>25.95</v>
      </c>
      <c r="O7" s="48" t="inlineStr">
        <is>
          <t>20-Aug-2026</t>
        </is>
      </c>
    </row>
    <row r="9">
      <c r="A9" s="8" t="inlineStr">
        <is>
          <t>Median (peers excl. Vestas)</t>
        </is>
      </c>
      <c r="K9" s="49">
        <f>MEDIAN(K6:K7)</f>
        <v/>
      </c>
      <c r="L9" s="49">
        <f>MEDIAN(L6:L7)</f>
        <v/>
      </c>
      <c r="M9" s="50">
        <f>MEDIAN(M6:M7)</f>
        <v/>
      </c>
      <c r="N9" s="50">
        <f>MEDIAN(N6:N7)</f>
        <v/>
      </c>
    </row>
    <row r="10">
      <c r="A10" s="5" t="inlineStr">
        <is>
          <t>Vestas premium / (discount) to peer median (EV/EBITDA)</t>
        </is>
      </c>
      <c r="L10" s="35">
        <f>L5/L9-1</f>
        <v/>
      </c>
    </row>
    <row r="11">
      <c r="A11" s="8" t="inlineStr">
        <is>
          <t>WARNING</t>
        </is>
      </c>
      <c r="B11" s="3" t="inlineStr">
        <is>
          <t>Siemens Energy is a diversified energy-technology group (gas turbines, grid), not a pure wind OEM. Two peers is not a comp set - it is a starting point.</t>
        </is>
      </c>
    </row>
    <row r="13" ht="16" customHeight="1">
      <c r="A13" s="4" t="inlineStr">
        <is>
          <t>IMPLIED VALUATION FOR VESTAS  —  EV / EBITDA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2" t="inlineStr"/>
      <c r="B14" s="23" t="inlineStr">
        <is>
          <t>Low</t>
        </is>
      </c>
      <c r="C14" s="23" t="inlineStr">
        <is>
          <t>Mid</t>
        </is>
      </c>
      <c r="D14" s="23" t="inlineStr">
        <is>
          <t>High</t>
        </is>
      </c>
    </row>
    <row r="15">
      <c r="A15" s="8" t="inlineStr">
        <is>
          <t>EV/EBITDA multiple applied</t>
        </is>
      </c>
      <c r="B15" s="51" t="n">
        <v>8.5</v>
      </c>
      <c r="C15" s="51" t="n">
        <v>10</v>
      </c>
      <c r="D15" s="51" t="n">
        <v>11.5</v>
      </c>
    </row>
    <row r="16">
      <c r="A16" s="5" t="inlineStr">
        <is>
          <t>Vestas 2026E EBITDA (EUR m)</t>
        </is>
      </c>
      <c r="B16" s="32">
        <f>'P&amp;L'!$C$13</f>
        <v/>
      </c>
      <c r="C16" s="32">
        <f>'P&amp;L'!$C$13</f>
        <v/>
      </c>
      <c r="D16" s="32">
        <f>'P&amp;L'!$C$13</f>
        <v/>
      </c>
    </row>
    <row r="17">
      <c r="A17" s="5" t="inlineStr">
        <is>
          <t>Implied enterprise value</t>
        </is>
      </c>
      <c r="B17" s="32">
        <f>B15*B16</f>
        <v/>
      </c>
      <c r="C17" s="32">
        <f>C15*C16</f>
        <v/>
      </c>
      <c r="D17" s="32">
        <f>D15*D16</f>
        <v/>
      </c>
    </row>
    <row r="18">
      <c r="A18" s="5" t="inlineStr">
        <is>
          <t>(+) Net cash / (-) net debt</t>
        </is>
      </c>
      <c r="B18" s="32">
        <f>DCF!$B$9</f>
        <v/>
      </c>
      <c r="C18" s="32">
        <f>DCF!$B$9</f>
        <v/>
      </c>
      <c r="D18" s="32">
        <f>DCF!$B$9</f>
        <v/>
      </c>
    </row>
    <row r="19">
      <c r="A19" s="5" t="inlineStr">
        <is>
          <t>Implied equity value</t>
        </is>
      </c>
      <c r="B19" s="32">
        <f>B17+B18</f>
        <v/>
      </c>
      <c r="C19" s="32">
        <f>C17+C18</f>
        <v/>
      </c>
      <c r="D19" s="32">
        <f>D17+D18</f>
        <v/>
      </c>
    </row>
    <row r="20">
      <c r="A20" s="8" t="inlineStr">
        <is>
          <t>Implied price per share (DKK)</t>
        </is>
      </c>
      <c r="B20" s="36">
        <f>B19/DCF!$B$10*DCF!$B$11</f>
        <v/>
      </c>
      <c r="C20" s="36">
        <f>C19/DCF!$B$10*DCF!$B$11</f>
        <v/>
      </c>
      <c r="D20" s="36">
        <f>D19/DCF!$B$10*DCF!$B$11</f>
        <v/>
      </c>
    </row>
    <row r="21">
      <c r="A21" s="8" t="inlineStr">
        <is>
          <t>Upside / (downside)</t>
        </is>
      </c>
      <c r="B21" s="37">
        <f>B20/DCF!$B$12-1</f>
        <v/>
      </c>
      <c r="C21" s="37">
        <f>C20/DCF!$B$12-1</f>
        <v/>
      </c>
      <c r="D21" s="37">
        <f>D20/DCF!$B$12-1</f>
        <v/>
      </c>
    </row>
    <row r="23" ht="16" customHeight="1">
      <c r="A23" s="4" t="inlineStr">
        <is>
          <t>IMPLIED VALUATION FOR VESTAS  —  EV / REVENUE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2" t="inlineStr"/>
      <c r="B24" s="23" t="inlineStr">
        <is>
          <t>Low</t>
        </is>
      </c>
      <c r="C24" s="23" t="inlineStr">
        <is>
          <t>Mid</t>
        </is>
      </c>
      <c r="D24" s="23" t="inlineStr">
        <is>
          <t>High</t>
        </is>
      </c>
    </row>
    <row r="25">
      <c r="A25" s="8" t="inlineStr">
        <is>
          <t>EV/Revenue multiple applied</t>
        </is>
      </c>
      <c r="B25" s="51" t="n">
        <v>0.95</v>
      </c>
      <c r="C25" s="51" t="n">
        <v>1.2</v>
      </c>
      <c r="D25" s="51" t="n">
        <v>1.45</v>
      </c>
    </row>
    <row r="26">
      <c r="A26" s="5" t="inlineStr">
        <is>
          <t>Vestas 2026E revenue (EUR m)</t>
        </is>
      </c>
      <c r="B26" s="32">
        <f>'P&amp;L'!$C$7</f>
        <v/>
      </c>
      <c r="C26" s="32">
        <f>'P&amp;L'!$C$7</f>
        <v/>
      </c>
      <c r="D26" s="32">
        <f>'P&amp;L'!$C$7</f>
        <v/>
      </c>
    </row>
    <row r="27">
      <c r="A27" s="5" t="inlineStr">
        <is>
          <t>Implied enterprise value</t>
        </is>
      </c>
      <c r="B27" s="32">
        <f>B25*B26</f>
        <v/>
      </c>
      <c r="C27" s="32">
        <f>C25*C26</f>
        <v/>
      </c>
      <c r="D27" s="32">
        <f>D25*D26</f>
        <v/>
      </c>
    </row>
    <row r="28">
      <c r="A28" s="5" t="inlineStr">
        <is>
          <t>(+) Net cash / (-) net debt</t>
        </is>
      </c>
      <c r="B28" s="32">
        <f>DCF!$B$9</f>
        <v/>
      </c>
      <c r="C28" s="32">
        <f>DCF!$B$9</f>
        <v/>
      </c>
      <c r="D28" s="32">
        <f>DCF!$B$9</f>
        <v/>
      </c>
    </row>
    <row r="29">
      <c r="A29" s="5" t="inlineStr">
        <is>
          <t>Implied equity value</t>
        </is>
      </c>
      <c r="B29" s="32">
        <f>B27+B28</f>
        <v/>
      </c>
      <c r="C29" s="32">
        <f>C27+C28</f>
        <v/>
      </c>
      <c r="D29" s="32">
        <f>D27+D28</f>
        <v/>
      </c>
    </row>
    <row r="30">
      <c r="A30" s="8" t="inlineStr">
        <is>
          <t>Implied price per share (DKK)</t>
        </is>
      </c>
      <c r="B30" s="36">
        <f>B29/DCF!$B$10*DCF!$B$11</f>
        <v/>
      </c>
      <c r="C30" s="36">
        <f>C29/DCF!$B$10*DCF!$B$11</f>
        <v/>
      </c>
      <c r="D30" s="36">
        <f>D29/DCF!$B$10*DCF!$B$11</f>
        <v/>
      </c>
    </row>
    <row r="31">
      <c r="A31" s="8" t="inlineStr">
        <is>
          <t>Upside / (downside)</t>
        </is>
      </c>
      <c r="B31" s="37">
        <f>B30/DCF!$B$12-1</f>
        <v/>
      </c>
      <c r="C31" s="37">
        <f>C30/DCF!$B$12-1</f>
        <v/>
      </c>
      <c r="D31" s="37">
        <f>D30/DCF!$B$12-1</f>
        <v/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2" customWidth="1" min="8" max="8"/>
  </cols>
  <sheetData>
    <row r="1" ht="20" customHeight="1">
      <c r="A1" s="20" t="inlineStr">
        <is>
          <t>INCOME STATEMENT  —  2025A and 2026E-2030E</t>
        </is>
      </c>
    </row>
    <row r="2">
      <c r="A2" s="21" t="inlineStr">
        <is>
          <t>All lines are formulas driven by the Assumptions sheet. No hardcodes on this page.</t>
        </is>
      </c>
    </row>
    <row r="4">
      <c r="A4" s="22" t="inlineStr">
        <is>
          <t>EUR m</t>
        </is>
      </c>
      <c r="B4" s="23" t="inlineStr">
        <is>
          <t>2025A</t>
        </is>
      </c>
      <c r="C4" s="23" t="inlineStr">
        <is>
          <t>2026E</t>
        </is>
      </c>
      <c r="D4" s="23" t="inlineStr">
        <is>
          <t>2027E</t>
        </is>
      </c>
      <c r="E4" s="23" t="inlineStr">
        <is>
          <t>2028E</t>
        </is>
      </c>
      <c r="F4" s="23" t="inlineStr">
        <is>
          <t>2029E</t>
        </is>
      </c>
      <c r="G4" s="23" t="inlineStr">
        <is>
          <t>2030E</t>
        </is>
      </c>
      <c r="H4" s="23" t="inlineStr">
        <is>
          <t>Comment</t>
        </is>
      </c>
    </row>
    <row r="6" ht="16" customHeight="1">
      <c r="A6" s="4" t="inlineStr">
        <is>
          <t>INCOME STATEMENT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8" t="inlineStr">
        <is>
          <t>Revenue</t>
        </is>
      </c>
      <c r="B7" s="29">
        <f>Assumptions!B16</f>
        <v/>
      </c>
      <c r="C7" s="29">
        <f>Assumptions!C16</f>
        <v/>
      </c>
      <c r="D7" s="29">
        <f>Assumptions!D16</f>
        <v/>
      </c>
      <c r="E7" s="29">
        <f>Assumptions!E16</f>
        <v/>
      </c>
      <c r="F7" s="29">
        <f>Assumptions!F16</f>
        <v/>
      </c>
      <c r="G7" s="29">
        <f>Assumptions!G16</f>
        <v/>
      </c>
    </row>
    <row r="8">
      <c r="A8" s="5" t="inlineStr">
        <is>
          <t>Revenue growth %</t>
        </is>
      </c>
      <c r="C8" s="35">
        <f>C7/B7-1</f>
        <v/>
      </c>
      <c r="D8" s="35">
        <f>D7/C7-1</f>
        <v/>
      </c>
      <c r="E8" s="35">
        <f>E7/D7-1</f>
        <v/>
      </c>
      <c r="F8" s="35">
        <f>F7/E7-1</f>
        <v/>
      </c>
      <c r="G8" s="35">
        <f>G7/F7-1</f>
        <v/>
      </c>
    </row>
    <row r="9">
      <c r="A9" s="5" t="inlineStr">
        <is>
          <t>Cost of goods sold</t>
        </is>
      </c>
      <c r="B9" s="32">
        <f>B7*(1-Assumptions!B21)</f>
        <v/>
      </c>
      <c r="C9" s="32">
        <f>C7*(1-Assumptions!C21)</f>
        <v/>
      </c>
      <c r="D9" s="32">
        <f>D7*(1-Assumptions!D21)</f>
        <v/>
      </c>
      <c r="E9" s="32">
        <f>E7*(1-Assumptions!E21)</f>
        <v/>
      </c>
      <c r="F9" s="32">
        <f>F7*(1-Assumptions!F21)</f>
        <v/>
      </c>
      <c r="G9" s="32">
        <f>G7*(1-Assumptions!G21)</f>
        <v/>
      </c>
    </row>
    <row r="10">
      <c r="A10" s="8" t="inlineStr">
        <is>
          <t>Gross profit</t>
        </is>
      </c>
      <c r="B10" s="32">
        <f>B7-B9</f>
        <v/>
      </c>
      <c r="C10" s="32">
        <f>C7-C9</f>
        <v/>
      </c>
      <c r="D10" s="32">
        <f>D7-D9</f>
        <v/>
      </c>
      <c r="E10" s="32">
        <f>E7-E9</f>
        <v/>
      </c>
      <c r="F10" s="32">
        <f>F7-F9</f>
        <v/>
      </c>
      <c r="G10" s="32">
        <f>G7-G9</f>
        <v/>
      </c>
    </row>
    <row r="11">
      <c r="A11" s="5" t="inlineStr">
        <is>
          <t>Gross margin %</t>
        </is>
      </c>
      <c r="B11" s="35">
        <f>B10/B7</f>
        <v/>
      </c>
      <c r="C11" s="35">
        <f>C10/C7</f>
        <v/>
      </c>
      <c r="D11" s="35">
        <f>D10/D7</f>
        <v/>
      </c>
      <c r="E11" s="35">
        <f>E10/E7</f>
        <v/>
      </c>
      <c r="F11" s="35">
        <f>F10/F7</f>
        <v/>
      </c>
      <c r="G11" s="35">
        <f>G10/G7</f>
        <v/>
      </c>
    </row>
    <row r="12">
      <c r="A12" s="5" t="inlineStr">
        <is>
          <t>Operating expenses</t>
        </is>
      </c>
      <c r="B12" s="32">
        <f>B7*Assumptions!B22</f>
        <v/>
      </c>
      <c r="C12" s="32">
        <f>C7*Assumptions!C22</f>
        <v/>
      </c>
      <c r="D12" s="32">
        <f>D7*Assumptions!D22</f>
        <v/>
      </c>
      <c r="E12" s="32">
        <f>E7*Assumptions!E22</f>
        <v/>
      </c>
      <c r="F12" s="32">
        <f>F7*Assumptions!F22</f>
        <v/>
      </c>
      <c r="G12" s="32">
        <f>G7*Assumptions!G22</f>
        <v/>
      </c>
    </row>
    <row r="13">
      <c r="A13" s="8" t="inlineStr">
        <is>
          <t>EBITDA</t>
        </is>
      </c>
      <c r="B13" s="32">
        <f>B10-B12</f>
        <v/>
      </c>
      <c r="C13" s="32">
        <f>C10-C12</f>
        <v/>
      </c>
      <c r="D13" s="32">
        <f>D10-D12</f>
        <v/>
      </c>
      <c r="E13" s="32">
        <f>E10-E12</f>
        <v/>
      </c>
      <c r="F13" s="32">
        <f>F10-F12</f>
        <v/>
      </c>
      <c r="G13" s="32">
        <f>G10-G12</f>
        <v/>
      </c>
    </row>
    <row r="14">
      <c r="A14" s="5" t="inlineStr">
        <is>
          <t>EBITDA margin %</t>
        </is>
      </c>
      <c r="B14" s="35">
        <f>B13/B7</f>
        <v/>
      </c>
      <c r="C14" s="35">
        <f>C13/C7</f>
        <v/>
      </c>
      <c r="D14" s="35">
        <f>D13/D7</f>
        <v/>
      </c>
      <c r="E14" s="35">
        <f>E13/E7</f>
        <v/>
      </c>
      <c r="F14" s="35">
        <f>F13/F7</f>
        <v/>
      </c>
      <c r="G14" s="35">
        <f>G13/G7</f>
        <v/>
      </c>
    </row>
    <row r="15">
      <c r="A15" s="5" t="inlineStr">
        <is>
          <t>Depreciation &amp; amortisation</t>
        </is>
      </c>
      <c r="B15" s="32">
        <f>B7*Assumptions!B24</f>
        <v/>
      </c>
      <c r="C15" s="32">
        <f>C7*Assumptions!C24</f>
        <v/>
      </c>
      <c r="D15" s="32">
        <f>D7*Assumptions!D24</f>
        <v/>
      </c>
      <c r="E15" s="32">
        <f>E7*Assumptions!E24</f>
        <v/>
      </c>
      <c r="F15" s="32">
        <f>F7*Assumptions!F24</f>
        <v/>
      </c>
      <c r="G15" s="32">
        <f>G7*Assumptions!G24</f>
        <v/>
      </c>
    </row>
    <row r="16">
      <c r="A16" s="8" t="inlineStr">
        <is>
          <t>EBIT</t>
        </is>
      </c>
      <c r="B16" s="32">
        <f>B13-B15</f>
        <v/>
      </c>
      <c r="C16" s="32">
        <f>C13-C15</f>
        <v/>
      </c>
      <c r="D16" s="32">
        <f>D13-D15</f>
        <v/>
      </c>
      <c r="E16" s="32">
        <f>E13-E15</f>
        <v/>
      </c>
      <c r="F16" s="32">
        <f>F13-F15</f>
        <v/>
      </c>
      <c r="G16" s="32">
        <f>G13-G15</f>
        <v/>
      </c>
    </row>
    <row r="17">
      <c r="A17" s="5" t="inlineStr">
        <is>
          <t>EBIT margin %</t>
        </is>
      </c>
      <c r="B17" s="35">
        <f>B16/B7</f>
        <v/>
      </c>
      <c r="C17" s="35">
        <f>C16/C7</f>
        <v/>
      </c>
      <c r="D17" s="35">
        <f>D16/D7</f>
        <v/>
      </c>
      <c r="E17" s="35">
        <f>E16/E7</f>
        <v/>
      </c>
      <c r="F17" s="35">
        <f>F16/F7</f>
        <v/>
      </c>
      <c r="G17" s="35">
        <f>G16/G7</f>
        <v/>
      </c>
    </row>
    <row r="18">
      <c r="A18" s="5" t="inlineStr">
        <is>
          <t>Tax on EBIT (unlevered)</t>
        </is>
      </c>
      <c r="B18" s="32">
        <f>B16*Assumptions!B35</f>
        <v/>
      </c>
      <c r="C18" s="32">
        <f>C16*Assumptions!C35</f>
        <v/>
      </c>
      <c r="D18" s="32">
        <f>D16*Assumptions!D35</f>
        <v/>
      </c>
      <c r="E18" s="32">
        <f>E16*Assumptions!E35</f>
        <v/>
      </c>
      <c r="F18" s="32">
        <f>F16*Assumptions!F35</f>
        <v/>
      </c>
      <c r="G18" s="32">
        <f>G16*Assumptions!G35</f>
        <v/>
      </c>
      <c r="H18" s="3" t="inlineStr">
        <is>
          <t>Tax on EBIT, NOT on pre-tax profit. A DCF values the firm, not the equity.</t>
        </is>
      </c>
    </row>
    <row r="19">
      <c r="A19" s="8" t="inlineStr">
        <is>
          <t>NOPAT  (EBIAT)</t>
        </is>
      </c>
      <c r="B19" s="32">
        <f>B16-B18</f>
        <v/>
      </c>
      <c r="C19" s="32">
        <f>C16-C18</f>
        <v/>
      </c>
      <c r="D19" s="32">
        <f>D16-D18</f>
        <v/>
      </c>
      <c r="E19" s="32">
        <f>E16-E18</f>
        <v/>
      </c>
      <c r="F19" s="32">
        <f>F16-F18</f>
        <v/>
      </c>
      <c r="G19" s="32">
        <f>G16-G18</f>
        <v/>
      </c>
    </row>
    <row r="21" ht="16" customHeight="1">
      <c r="A21" s="4" t="inlineStr">
        <is>
          <t>MEMO ITEMS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5" t="inlineStr">
        <is>
          <t>Service revenue as % of total</t>
        </is>
      </c>
      <c r="B22" s="35">
        <f>Assumptions!B14/Assumptions!B16</f>
        <v/>
      </c>
      <c r="C22" s="35">
        <f>Assumptions!C14/Assumptions!C16</f>
        <v/>
      </c>
      <c r="D22" s="35">
        <f>Assumptions!D14/Assumptions!D16</f>
        <v/>
      </c>
      <c r="E22" s="35">
        <f>Assumptions!E14/Assumptions!E16</f>
        <v/>
      </c>
      <c r="F22" s="35">
        <f>Assumptions!F14/Assumptions!F16</f>
        <v/>
      </c>
      <c r="G22" s="35">
        <f>Assumptions!G14/Assumptions!G16</f>
        <v/>
      </c>
      <c r="H22" s="3" t="inlineStr">
        <is>
          <t>The mix shift that drives the margin story.</t>
        </is>
      </c>
    </row>
    <row r="23">
      <c r="A23" s="5" t="inlineStr">
        <is>
          <t>Incremental EBIT margin (change in EBIT / change in revenue)</t>
        </is>
      </c>
      <c r="C23" s="35">
        <f>(C16-B16)/(C7-B7)</f>
        <v/>
      </c>
      <c r="D23" s="35">
        <f>(D16-C16)/(D7-C7)</f>
        <v/>
      </c>
      <c r="E23" s="35">
        <f>(E16-D16)/(E7-D7)</f>
        <v/>
      </c>
      <c r="F23" s="35">
        <f>(F16-E16)/(F7-E7)</f>
        <v/>
      </c>
      <c r="G23" s="35">
        <f>(G16-F16)/(G7-F7)</f>
        <v/>
      </c>
      <c r="H23" s="3" t="inlineStr">
        <is>
          <t>Operating leverage check.</t>
        </is>
      </c>
    </row>
    <row r="24">
      <c r="A24" s="5" t="inlineStr">
        <is>
          <t>Revenue CAGR 2025A-2030E</t>
        </is>
      </c>
      <c r="C24" s="35">
        <f>(G7/B7)^(1/5)-1</f>
        <v/>
      </c>
    </row>
    <row r="25">
      <c r="A25" s="5" t="inlineStr">
        <is>
          <t>EBIT CAGR 2025A-2030E</t>
        </is>
      </c>
      <c r="C25" s="35">
        <f>(G16/B16)^(1/5)-1</f>
        <v/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2" customWidth="1" min="8" max="8"/>
  </cols>
  <sheetData>
    <row r="1" ht="20" customHeight="1">
      <c r="A1" s="20" t="inlineStr">
        <is>
          <t>UNLEVERED FREE CASH FLOW BRIDGE</t>
        </is>
      </c>
    </row>
    <row r="2">
      <c r="A2" s="21" t="inlineStr">
        <is>
          <t>FCFF = NOPAT + D&amp;A - Capex - Change in NWC.  This is what gets discounted at the WACC.</t>
        </is>
      </c>
    </row>
    <row r="4">
      <c r="A4" s="22" t="inlineStr">
        <is>
          <t>EUR m</t>
        </is>
      </c>
      <c r="B4" s="23" t="inlineStr">
        <is>
          <t>2025A</t>
        </is>
      </c>
      <c r="C4" s="23" t="inlineStr">
        <is>
          <t>2026E</t>
        </is>
      </c>
      <c r="D4" s="23" t="inlineStr">
        <is>
          <t>2027E</t>
        </is>
      </c>
      <c r="E4" s="23" t="inlineStr">
        <is>
          <t>2028E</t>
        </is>
      </c>
      <c r="F4" s="23" t="inlineStr">
        <is>
          <t>2029E</t>
        </is>
      </c>
      <c r="G4" s="23" t="inlineStr">
        <is>
          <t>2030E</t>
        </is>
      </c>
      <c r="H4" s="23" t="inlineStr">
        <is>
          <t>Comment</t>
        </is>
      </c>
    </row>
    <row r="6" ht="16" customHeight="1">
      <c r="A6" s="4" t="inlineStr">
        <is>
          <t>FREE CASH FLOW TO THE FIRM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5" t="inlineStr">
        <is>
          <t>EBIT</t>
        </is>
      </c>
      <c r="B7" s="29">
        <f>'P&amp;L'!B16</f>
        <v/>
      </c>
      <c r="C7" s="29">
        <f>'P&amp;L'!C16</f>
        <v/>
      </c>
      <c r="D7" s="29">
        <f>'P&amp;L'!D16</f>
        <v/>
      </c>
      <c r="E7" s="29">
        <f>'P&amp;L'!E16</f>
        <v/>
      </c>
      <c r="F7" s="29">
        <f>'P&amp;L'!F16</f>
        <v/>
      </c>
      <c r="G7" s="29">
        <f>'P&amp;L'!G16</f>
        <v/>
      </c>
    </row>
    <row r="8">
      <c r="A8" s="5" t="inlineStr">
        <is>
          <t>(-)  Tax on EBIT</t>
        </is>
      </c>
      <c r="B8" s="29">
        <f>'P&amp;L'!B18</f>
        <v/>
      </c>
      <c r="C8" s="29">
        <f>'P&amp;L'!C18</f>
        <v/>
      </c>
      <c r="D8" s="29">
        <f>'P&amp;L'!D18</f>
        <v/>
      </c>
      <c r="E8" s="29">
        <f>'P&amp;L'!E18</f>
        <v/>
      </c>
      <c r="F8" s="29">
        <f>'P&amp;L'!F18</f>
        <v/>
      </c>
      <c r="G8" s="29">
        <f>'P&amp;L'!G18</f>
        <v/>
      </c>
    </row>
    <row r="9">
      <c r="A9" s="8" t="inlineStr">
        <is>
          <t>(=)  NOPAT</t>
        </is>
      </c>
      <c r="B9" s="29">
        <f>'P&amp;L'!B19</f>
        <v/>
      </c>
      <c r="C9" s="29">
        <f>'P&amp;L'!C19</f>
        <v/>
      </c>
      <c r="D9" s="29">
        <f>'P&amp;L'!D19</f>
        <v/>
      </c>
      <c r="E9" s="29">
        <f>'P&amp;L'!E19</f>
        <v/>
      </c>
      <c r="F9" s="29">
        <f>'P&amp;L'!F19</f>
        <v/>
      </c>
      <c r="G9" s="29">
        <f>'P&amp;L'!G19</f>
        <v/>
      </c>
    </row>
    <row r="10">
      <c r="A10" s="5" t="inlineStr">
        <is>
          <t>(+)  Depreciation &amp; amortisation</t>
        </is>
      </c>
      <c r="B10" s="29">
        <f>'P&amp;L'!B15</f>
        <v/>
      </c>
      <c r="C10" s="29">
        <f>'P&amp;L'!C15</f>
        <v/>
      </c>
      <c r="D10" s="29">
        <f>'P&amp;L'!D15</f>
        <v/>
      </c>
      <c r="E10" s="29">
        <f>'P&amp;L'!E15</f>
        <v/>
      </c>
      <c r="F10" s="29">
        <f>'P&amp;L'!F15</f>
        <v/>
      </c>
      <c r="G10" s="29">
        <f>'P&amp;L'!G15</f>
        <v/>
      </c>
      <c r="H10" s="3" t="inlineStr">
        <is>
          <t>Non-cash: added back.</t>
        </is>
      </c>
    </row>
    <row r="11">
      <c r="A11" s="5" t="inlineStr">
        <is>
          <t>(-)  Capital expenditure</t>
        </is>
      </c>
      <c r="B11" s="29">
        <f>Assumptions!B30</f>
        <v/>
      </c>
      <c r="C11" s="29">
        <f>Assumptions!C30</f>
        <v/>
      </c>
      <c r="D11" s="29">
        <f>Assumptions!D30</f>
        <v/>
      </c>
      <c r="E11" s="29">
        <f>Assumptions!E30</f>
        <v/>
      </c>
      <c r="F11" s="29">
        <f>Assumptions!F30</f>
        <v/>
      </c>
      <c r="G11" s="29">
        <f>Assumptions!G30</f>
        <v/>
      </c>
      <c r="H11" s="3" t="inlineStr">
        <is>
          <t>Total net investments, so it is consistent with D&amp;A on intangibles.</t>
        </is>
      </c>
    </row>
    <row r="12">
      <c r="A12" s="5" t="inlineStr">
        <is>
          <t>(-)  Change in net working capital</t>
        </is>
      </c>
      <c r="B12" s="29">
        <f>Historical!F28</f>
        <v/>
      </c>
      <c r="C12" s="29">
        <f>Assumptions!C34</f>
        <v/>
      </c>
      <c r="D12" s="29">
        <f>Assumptions!D34</f>
        <v/>
      </c>
      <c r="E12" s="29">
        <f>Assumptions!E34</f>
        <v/>
      </c>
      <c r="F12" s="29">
        <f>Assumptions!F34</f>
        <v/>
      </c>
      <c r="G12" s="29">
        <f>Assumptions!G34</f>
        <v/>
      </c>
      <c r="H12" s="3" t="inlineStr">
        <is>
          <t>Negative change = WC released = CASH IN. Sign discipline is everything here.</t>
        </is>
      </c>
    </row>
    <row r="13">
      <c r="A13" s="8" t="inlineStr">
        <is>
          <t>(=)  UNLEVERED FREE CASH FLOW</t>
        </is>
      </c>
      <c r="B13" s="32">
        <f>B9+B10-B11-B12</f>
        <v/>
      </c>
      <c r="C13" s="32">
        <f>C9+C10-C11-C12</f>
        <v/>
      </c>
      <c r="D13" s="32">
        <f>D9+D10-D11-D12</f>
        <v/>
      </c>
      <c r="E13" s="32">
        <f>E9+E10-E11-E12</f>
        <v/>
      </c>
      <c r="F13" s="32">
        <f>F9+F10-F11-F12</f>
        <v/>
      </c>
      <c r="G13" s="32">
        <f>G9+G10-G11-G12</f>
        <v/>
      </c>
    </row>
    <row r="14">
      <c r="A14" s="5" t="inlineStr">
        <is>
          <t>FCF margin %</t>
        </is>
      </c>
      <c r="B14" s="35">
        <f>B13/'P&amp;L'!B7</f>
        <v/>
      </c>
      <c r="C14" s="35">
        <f>C13/'P&amp;L'!C7</f>
        <v/>
      </c>
      <c r="D14" s="35">
        <f>D13/'P&amp;L'!D7</f>
        <v/>
      </c>
      <c r="E14" s="35">
        <f>E13/'P&amp;L'!E7</f>
        <v/>
      </c>
      <c r="F14" s="35">
        <f>F13/'P&amp;L'!F7</f>
        <v/>
      </c>
      <c r="G14" s="35">
        <f>G13/'P&amp;L'!G7</f>
        <v/>
      </c>
    </row>
    <row r="15">
      <c r="A15" s="5" t="inlineStr">
        <is>
          <t>FCF growth %</t>
        </is>
      </c>
      <c r="C15" s="35">
        <f>C13/B13-1</f>
        <v/>
      </c>
      <c r="D15" s="35">
        <f>D13/C13-1</f>
        <v/>
      </c>
      <c r="E15" s="35">
        <f>E13/D13-1</f>
        <v/>
      </c>
      <c r="F15" s="35">
        <f>F13/E13-1</f>
        <v/>
      </c>
      <c r="G15" s="35">
        <f>G13/F13-1</f>
        <v/>
      </c>
    </row>
    <row r="17" ht="16" customHeight="1">
      <c r="A17" s="4" t="inlineStr">
        <is>
          <t>QUALITY CHECKS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Capex / D&amp;A (x)</t>
        </is>
      </c>
      <c r="B18" s="34">
        <f>B11/B10</f>
        <v/>
      </c>
      <c r="C18" s="34">
        <f>C11/C10</f>
        <v/>
      </c>
      <c r="D18" s="34">
        <f>D11/D10</f>
        <v/>
      </c>
      <c r="E18" s="34">
        <f>E11/E10</f>
        <v/>
      </c>
      <c r="F18" s="34">
        <f>F11/F10</f>
        <v/>
      </c>
      <c r="G18" s="34">
        <f>G11/G10</f>
        <v/>
      </c>
      <c r="H18" s="3" t="inlineStr">
        <is>
          <t>Below 1.0x forever = a shrinking asset base = an unsustainable terminal value.</t>
        </is>
      </c>
    </row>
    <row r="19">
      <c r="A19" s="5" t="inlineStr">
        <is>
          <t>Cash conversion (FCF / EBITDA)</t>
        </is>
      </c>
      <c r="B19" s="35">
        <f>B13/'P&amp;L'!B13</f>
        <v/>
      </c>
      <c r="C19" s="35">
        <f>C13/'P&amp;L'!C13</f>
        <v/>
      </c>
      <c r="D19" s="35">
        <f>D13/'P&amp;L'!D13</f>
        <v/>
      </c>
      <c r="E19" s="35">
        <f>E13/'P&amp;L'!E13</f>
        <v/>
      </c>
      <c r="F19" s="35">
        <f>F13/'P&amp;L'!F13</f>
        <v/>
      </c>
      <c r="G19" s="35">
        <f>G13/'P&amp;L'!G13</f>
        <v/>
      </c>
    </row>
    <row r="20">
      <c r="A20" s="5" t="inlineStr">
        <is>
          <t>Working capital contribution as % of FCF</t>
        </is>
      </c>
      <c r="B20" s="35">
        <f>-B12/B13</f>
        <v/>
      </c>
      <c r="C20" s="35">
        <f>-C12/C13</f>
        <v/>
      </c>
      <c r="D20" s="35">
        <f>-D12/D13</f>
        <v/>
      </c>
      <c r="E20" s="35">
        <f>-E12/E13</f>
        <v/>
      </c>
      <c r="F20" s="35">
        <f>-F12/F13</f>
        <v/>
      </c>
      <c r="G20" s="35">
        <f>-G12/G13</f>
        <v/>
      </c>
      <c r="H20" s="3" t="inlineStr">
        <is>
          <t>If this is large and positive every year, your WC assumption is doing the work, not the business.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H5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2" customWidth="1" min="8" max="8"/>
  </cols>
  <sheetData>
    <row r="1" ht="20" customHeight="1">
      <c r="A1" s="20" t="inlineStr">
        <is>
          <t>OPERATING ASSUMPTIONS  &amp;  SCENARIO ENGINE</t>
        </is>
      </c>
    </row>
    <row r="2">
      <c r="A2" s="21" t="inlineStr">
        <is>
          <t>Orange cells = hardcoded inputs you control. Everything else is a formula. Explicit forecast: 2026E-2030E (5 years).</t>
        </is>
      </c>
    </row>
    <row r="4">
      <c r="A4" s="22" t="inlineStr">
        <is>
          <t>EUR m unless stated</t>
        </is>
      </c>
      <c r="B4" s="23" t="inlineStr">
        <is>
          <t>2025A</t>
        </is>
      </c>
      <c r="C4" s="23" t="inlineStr">
        <is>
          <t>2026E</t>
        </is>
      </c>
      <c r="D4" s="23" t="inlineStr">
        <is>
          <t>2027E</t>
        </is>
      </c>
      <c r="E4" s="23" t="inlineStr">
        <is>
          <t>2028E</t>
        </is>
      </c>
      <c r="F4" s="23" t="inlineStr">
        <is>
          <t>2029E</t>
        </is>
      </c>
      <c r="G4" s="23" t="inlineStr">
        <is>
          <t>2030E</t>
        </is>
      </c>
      <c r="H4" s="23" t="inlineStr">
        <is>
          <t>Source / logic</t>
        </is>
      </c>
    </row>
    <row r="6" ht="16" customHeight="1">
      <c r="A6" s="4" t="inlineStr">
        <is>
          <t>SCENARIO SWITCH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8" t="inlineStr">
        <is>
          <t>Scenario  (1 = Bear,  2 = Base,  3 = Bull)</t>
        </is>
      </c>
      <c r="B7" s="52" t="n">
        <v>2</v>
      </c>
      <c r="C7" s="15">
        <f>CHOOSE($B$7,"BEAR CASE","BASE CASE","BULL CASE")</f>
        <v/>
      </c>
      <c r="H7" s="3" t="inlineStr">
        <is>
          <t>Change B7 and the entire model, the DCF and the sensitivity tables update.</t>
        </is>
      </c>
    </row>
    <row r="9" ht="16" customHeight="1">
      <c r="A9" s="4" t="inlineStr">
        <is>
          <t>REVENUE BUILD  (segmented: Power Solutions is volume x price, Service is installed-base driven)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MW delivered</t>
        </is>
      </c>
      <c r="B10" s="29">
        <f>Historical!F38</f>
        <v/>
      </c>
      <c r="C10" s="32">
        <f>CHOOSE($B$7,C45,C46,C47)</f>
        <v/>
      </c>
      <c r="D10" s="32">
        <f>CHOOSE($B$7,D45,D46,D47)</f>
        <v/>
      </c>
      <c r="E10" s="32">
        <f>CHOOSE($B$7,E45,E46,E47)</f>
        <v/>
      </c>
      <c r="F10" s="32">
        <f>CHOOSE($B$7,F45,F46,F47)</f>
        <v/>
      </c>
      <c r="G10" s="32">
        <f>CHOOSE($B$7,G45,G46,G47)</f>
        <v/>
      </c>
      <c r="H10" s="3" t="inlineStr">
        <is>
          <t>Driven by the scenario table below.</t>
        </is>
      </c>
    </row>
    <row r="11">
      <c r="A11" s="5" t="inlineStr">
        <is>
          <t>MW growth %</t>
        </is>
      </c>
      <c r="C11" s="35">
        <f>C10/B10-1</f>
        <v/>
      </c>
      <c r="D11" s="35">
        <f>D10/C10-1</f>
        <v/>
      </c>
      <c r="E11" s="35">
        <f>E10/D10-1</f>
        <v/>
      </c>
      <c r="F11" s="35">
        <f>F10/E10-1</f>
        <v/>
      </c>
      <c r="G11" s="35">
        <f>G10/F10-1</f>
        <v/>
      </c>
    </row>
    <row r="12">
      <c r="A12" s="5" t="inlineStr">
        <is>
          <t>ASP - Power Solutions (EUR m / MW)</t>
        </is>
      </c>
      <c r="B12" s="53">
        <f>Historical!F39</f>
        <v/>
      </c>
      <c r="C12" s="25" t="n">
        <v>1.075</v>
      </c>
      <c r="D12" s="25" t="n">
        <v>1.09</v>
      </c>
      <c r="E12" s="25" t="n">
        <v>1.1</v>
      </c>
      <c r="F12" s="25" t="n">
        <v>1.11</v>
      </c>
      <c r="G12" s="25" t="n">
        <v>1.12</v>
      </c>
      <c r="H12" s="3" t="inlineStr">
        <is>
          <t>Price/mix: larger turbines and offshore lift ASP approx. 2-3% p.a.</t>
        </is>
      </c>
    </row>
    <row r="13">
      <c r="A13" s="5" t="inlineStr">
        <is>
          <t>Power Solutions revenue</t>
        </is>
      </c>
      <c r="B13" s="29">
        <f>Historical!F35</f>
        <v/>
      </c>
      <c r="C13" s="32">
        <f>C10*C12</f>
        <v/>
      </c>
      <c r="D13" s="32">
        <f>D10*D12</f>
        <v/>
      </c>
      <c r="E13" s="32">
        <f>E10*E12</f>
        <v/>
      </c>
      <c r="F13" s="32">
        <f>F10*F12</f>
        <v/>
      </c>
      <c r="G13" s="32">
        <f>G10*G12</f>
        <v/>
      </c>
    </row>
    <row r="14">
      <c r="A14" s="5" t="inlineStr">
        <is>
          <t>Service revenue</t>
        </is>
      </c>
      <c r="B14" s="29">
        <f>Historical!F36</f>
        <v/>
      </c>
      <c r="C14" s="32">
        <f>B14*(1+C15)</f>
        <v/>
      </c>
      <c r="D14" s="32">
        <f>C14*(1+D15)</f>
        <v/>
      </c>
      <c r="E14" s="32">
        <f>D14*(1+E15)</f>
        <v/>
      </c>
      <c r="F14" s="32">
        <f>E14*(1+F15)</f>
        <v/>
      </c>
      <c r="G14" s="32">
        <f>F14*(1+G15)</f>
        <v/>
      </c>
    </row>
    <row r="15">
      <c r="A15" s="5" t="inlineStr">
        <is>
          <t>Service growth %</t>
        </is>
      </c>
      <c r="C15" s="54" t="n">
        <v>0.1</v>
      </c>
      <c r="D15" s="54" t="n">
        <v>0.09</v>
      </c>
      <c r="E15" s="54" t="n">
        <v>0.08500000000000001</v>
      </c>
      <c r="F15" s="54" t="n">
        <v>0.08</v>
      </c>
      <c r="G15" s="54" t="n">
        <v>0.075</v>
      </c>
      <c r="H15" s="3" t="inlineStr">
        <is>
          <t>Underpinned by a EUR 38.7bn service backlog and 161 GW under service.</t>
        </is>
      </c>
    </row>
    <row r="16">
      <c r="A16" s="8" t="inlineStr">
        <is>
          <t>TOTAL REVENUE</t>
        </is>
      </c>
      <c r="B16" s="32">
        <f>B13+B14</f>
        <v/>
      </c>
      <c r="C16" s="32">
        <f>C13+C14</f>
        <v/>
      </c>
      <c r="D16" s="32">
        <f>D13+D14</f>
        <v/>
      </c>
      <c r="E16" s="32">
        <f>E13+E14</f>
        <v/>
      </c>
      <c r="F16" s="32">
        <f>F13+F14</f>
        <v/>
      </c>
      <c r="G16" s="32">
        <f>G13+G14</f>
        <v/>
      </c>
    </row>
    <row r="17">
      <c r="A17" s="5" t="inlineStr">
        <is>
          <t>Revenue growth %</t>
        </is>
      </c>
      <c r="C17" s="35">
        <f>C16/B16-1</f>
        <v/>
      </c>
      <c r="D17" s="35">
        <f>D16/C16-1</f>
        <v/>
      </c>
      <c r="E17" s="35">
        <f>E16/D16-1</f>
        <v/>
      </c>
      <c r="F17" s="35">
        <f>F16/E16-1</f>
        <v/>
      </c>
      <c r="G17" s="35">
        <f>G16/F16-1</f>
        <v/>
      </c>
    </row>
    <row r="18">
      <c r="A18" s="5" t="inlineStr">
        <is>
          <t>CHECK: 2026E revenue vs company guidance EUR 20.0-22.0bn</t>
        </is>
      </c>
      <c r="C18" s="15">
        <f>IF(AND(C16&gt;=20000,C16&lt;=22000),"OK - within guidance","OUT OF GUIDANCE RANGE")</f>
        <v/>
      </c>
      <c r="H18" s="3" t="inlineStr">
        <is>
          <t>The old model forecast EUR 19.8bn for 2026 - below the low end of guidance.</t>
        </is>
      </c>
    </row>
    <row r="20" ht="16" customHeight="1">
      <c r="A20" s="4" t="inlineStr">
        <is>
          <t>MARGIN ASSUMPTIONS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Gross margin %</t>
        </is>
      </c>
      <c r="B21" s="55">
        <f>Historical!F11</f>
        <v/>
      </c>
      <c r="C21" s="35">
        <f>CHOOSE($B$7,C48,C49,C50)</f>
        <v/>
      </c>
      <c r="D21" s="35">
        <f>CHOOSE($B$7,D48,D49,D50)</f>
        <v/>
      </c>
      <c r="E21" s="35">
        <f>CHOOSE($B$7,E48,E49,E50)</f>
        <v/>
      </c>
      <c r="F21" s="35">
        <f>CHOOSE($B$7,F48,F49,F50)</f>
        <v/>
      </c>
      <c r="G21" s="35">
        <f>CHOOSE($B$7,G48,G49,G50)</f>
        <v/>
      </c>
      <c r="H21" s="3" t="inlineStr">
        <is>
          <t>Scenario-driven. Mix shift to Service is the main lever.</t>
        </is>
      </c>
    </row>
    <row r="22">
      <c r="A22" s="5" t="inlineStr">
        <is>
          <t>Opex % of revenue</t>
        </is>
      </c>
      <c r="B22" s="55">
        <f>Historical!F12/Historical!F7</f>
        <v/>
      </c>
      <c r="C22" s="54" t="n">
        <v>0.023</v>
      </c>
      <c r="D22" s="54" t="n">
        <v>0.0225</v>
      </c>
      <c r="E22" s="54" t="n">
        <v>0.022</v>
      </c>
      <c r="F22" s="54" t="n">
        <v>0.0215</v>
      </c>
      <c r="G22" s="54" t="n">
        <v>0.021</v>
      </c>
      <c r="H22" s="3" t="inlineStr">
        <is>
          <t>Operating leverage on a broadly fixed cost base.</t>
        </is>
      </c>
    </row>
    <row r="23">
      <c r="A23" s="5" t="inlineStr">
        <is>
          <t>EBITDA margin %</t>
        </is>
      </c>
      <c r="B23" s="35">
        <f>B21-B22</f>
        <v/>
      </c>
      <c r="C23" s="35">
        <f>C21-C22</f>
        <v/>
      </c>
      <c r="D23" s="35">
        <f>D21-D22</f>
        <v/>
      </c>
      <c r="E23" s="35">
        <f>E21-E22</f>
        <v/>
      </c>
      <c r="F23" s="35">
        <f>F21-F22</f>
        <v/>
      </c>
      <c r="G23" s="35">
        <f>G21-G22</f>
        <v/>
      </c>
    </row>
    <row r="24">
      <c r="A24" s="5" t="inlineStr">
        <is>
          <t>D&amp;A % of revenue</t>
        </is>
      </c>
      <c r="B24" s="55">
        <f>Historical!F15/Historical!F7</f>
        <v/>
      </c>
      <c r="C24" s="54" t="n">
        <v>0.055</v>
      </c>
      <c r="D24" s="54" t="n">
        <v>0.0535</v>
      </c>
      <c r="E24" s="54" t="n">
        <v>0.0525</v>
      </c>
      <c r="F24" s="54" t="n">
        <v>0.0515</v>
      </c>
      <c r="G24" s="54" t="n">
        <v>0.0505</v>
      </c>
    </row>
    <row r="25">
      <c r="A25" s="8" t="inlineStr">
        <is>
          <t>EBIT margin %</t>
        </is>
      </c>
      <c r="B25" s="35">
        <f>B23-B24</f>
        <v/>
      </c>
      <c r="C25" s="35">
        <f>C23-C24</f>
        <v/>
      </c>
      <c r="D25" s="35">
        <f>D23-D24</f>
        <v/>
      </c>
      <c r="E25" s="35">
        <f>E23-E24</f>
        <v/>
      </c>
      <c r="F25" s="35">
        <f>F23-F24</f>
        <v/>
      </c>
      <c r="G25" s="35">
        <f>G23-G24</f>
        <v/>
      </c>
    </row>
    <row r="26">
      <c r="A26" s="5" t="inlineStr">
        <is>
          <t>CHECK: 2026E EBIT margin vs guidance 6.0-8.0% b.s.i.</t>
        </is>
      </c>
      <c r="C26" s="15">
        <f>IF(AND(C25&gt;=0.06,C25&lt;=0.08),"OK - within guidance","OUT OF GUIDANCE RANGE")</f>
        <v/>
      </c>
    </row>
    <row r="28" ht="16" customHeight="1">
      <c r="A28" s="4" t="inlineStr">
        <is>
          <t>CAPITAL, WORKING CAPITAL &amp; TAX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Capex % of revenue</t>
        </is>
      </c>
      <c r="B29" s="55">
        <f>Historical!F30</f>
        <v/>
      </c>
      <c r="C29" s="54" t="n">
        <v>0.057</v>
      </c>
      <c r="D29" s="54" t="n">
        <v>0.053</v>
      </c>
      <c r="E29" s="54" t="n">
        <v>0.051</v>
      </c>
      <c r="F29" s="54" t="n">
        <v>0.05</v>
      </c>
      <c r="G29" s="54" t="n">
        <v>0.05</v>
      </c>
      <c r="H29" s="3" t="inlineStr">
        <is>
          <t>2026 calibrated to the approx. EUR 1.2bn guidance. Terminal capex must approach D&amp;A.</t>
        </is>
      </c>
    </row>
    <row r="30">
      <c r="A30" s="5" t="inlineStr">
        <is>
          <t>Total net investments (capex)</t>
        </is>
      </c>
      <c r="B30" s="29">
        <f>Historical!F29</f>
        <v/>
      </c>
      <c r="C30" s="32">
        <f>C16*C29</f>
        <v/>
      </c>
      <c r="D30" s="32">
        <f>D16*D29</f>
        <v/>
      </c>
      <c r="E30" s="32">
        <f>E16*E29</f>
        <v/>
      </c>
      <c r="F30" s="32">
        <f>F16*F29</f>
        <v/>
      </c>
      <c r="G30" s="32">
        <f>G16*G29</f>
        <v/>
      </c>
    </row>
    <row r="31">
      <c r="A31" s="5" t="inlineStr">
        <is>
          <t>Capex / D&amp;A (x)</t>
        </is>
      </c>
      <c r="C31" s="34">
        <f>C30/(C16*C24)</f>
        <v/>
      </c>
      <c r="D31" s="34">
        <f>D30/(D16*D24)</f>
        <v/>
      </c>
      <c r="E31" s="34">
        <f>E30/(E16*E24)</f>
        <v/>
      </c>
      <c r="F31" s="34">
        <f>F30/(F16*F24)</f>
        <v/>
      </c>
      <c r="G31" s="34">
        <f>G30/(G16*G24)</f>
        <v/>
      </c>
      <c r="H31" s="3" t="inlineStr">
        <is>
          <t>Must converge to approx. 1.0x by the terminal year or the terminal value is fiction.</t>
        </is>
      </c>
    </row>
    <row r="32">
      <c r="A32" s="5" t="inlineStr">
        <is>
          <t>NWC % of revenue</t>
        </is>
      </c>
      <c r="B32" s="55">
        <f>Historical!F27</f>
        <v/>
      </c>
      <c r="C32" s="54" t="n">
        <v>-0.16</v>
      </c>
      <c r="D32" s="54" t="n">
        <v>-0.155</v>
      </c>
      <c r="E32" s="54" t="n">
        <v>-0.15</v>
      </c>
      <c r="F32" s="54" t="n">
        <v>-0.145</v>
      </c>
      <c r="G32" s="54" t="n">
        <v>-0.14</v>
      </c>
      <c r="H32" s="3" t="inlineStr">
        <is>
          <t>2025 was an exceptional -16.6%. We NORMALISE back toward -14%, a cash headwind.</t>
        </is>
      </c>
    </row>
    <row r="33">
      <c r="A33" s="5" t="inlineStr">
        <is>
          <t>Net working capital (level)</t>
        </is>
      </c>
      <c r="B33" s="32">
        <f>B16*B32</f>
        <v/>
      </c>
      <c r="C33" s="32">
        <f>C16*C32</f>
        <v/>
      </c>
      <c r="D33" s="32">
        <f>D16*D32</f>
        <v/>
      </c>
      <c r="E33" s="32">
        <f>E16*E32</f>
        <v/>
      </c>
      <c r="F33" s="32">
        <f>F16*F32</f>
        <v/>
      </c>
      <c r="G33" s="32">
        <f>G16*G32</f>
        <v/>
      </c>
    </row>
    <row r="34">
      <c r="A34" s="8" t="inlineStr">
        <is>
          <t>Change in NWC (negative = cash inflow)</t>
        </is>
      </c>
      <c r="C34" s="32">
        <f>C33-B33</f>
        <v/>
      </c>
      <c r="D34" s="32">
        <f>D33-C33</f>
        <v/>
      </c>
      <c r="E34" s="32">
        <f>E33-D33</f>
        <v/>
      </c>
      <c r="F34" s="32">
        <f>F33-E33</f>
        <v/>
      </c>
      <c r="G34" s="32">
        <f>G33-F33</f>
        <v/>
      </c>
      <c r="H34" s="3" t="inlineStr">
        <is>
          <t>CORRECT method: change in the LEVEL. Never a fixed % of the revenue level.</t>
        </is>
      </c>
    </row>
    <row r="35">
      <c r="A35" s="5" t="inlineStr">
        <is>
          <t>Effective tax rate %</t>
        </is>
      </c>
      <c r="B35" s="55">
        <f>Historical!F23</f>
        <v/>
      </c>
      <c r="C35" s="54" t="n">
        <v>0.25</v>
      </c>
      <c r="D35" s="54" t="n">
        <v>0.25</v>
      </c>
      <c r="E35" s="54" t="n">
        <v>0.25</v>
      </c>
      <c r="F35" s="54" t="n">
        <v>0.25</v>
      </c>
      <c r="G35" s="54" t="n">
        <v>0.25</v>
      </c>
    </row>
    <row r="37" ht="16" customHeight="1">
      <c r="A37" s="4" t="inlineStr">
        <is>
          <t>VALUATION PARAMETERS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8" t="inlineStr">
        <is>
          <t>WACC</t>
        </is>
      </c>
      <c r="B38" s="13">
        <f>WACC!B30</f>
        <v/>
      </c>
      <c r="H38" s="3" t="inlineStr">
        <is>
          <t>Linked to the WACC build-up. Green = link.</t>
        </is>
      </c>
    </row>
    <row r="39">
      <c r="A39" s="8" t="inlineStr">
        <is>
          <t>Terminal growth rate (g)</t>
        </is>
      </c>
      <c r="B39" s="56" t="n">
        <v>0.02</v>
      </c>
      <c r="H39" s="3" t="inlineStr">
        <is>
          <t>Must be &lt;= long-run nominal GDP growth. 2.0% = ECB inflation target.</t>
        </is>
      </c>
    </row>
    <row r="40">
      <c r="A40" s="8" t="inlineStr">
        <is>
          <t>Exit EV/EBITDA multiple (cross-check method)</t>
        </is>
      </c>
      <c r="B40" s="51" t="n">
        <v>10</v>
      </c>
      <c r="H40" s="3" t="inlineStr">
        <is>
          <t>Vestas currently trades at approx. 11.5x TTM EV/EBITDA.</t>
        </is>
      </c>
    </row>
    <row r="41">
      <c r="A41" s="8" t="inlineStr">
        <is>
          <t>Mid-year convention  (1 = yes, 0 = no)</t>
        </is>
      </c>
      <c r="B41" s="52" t="n">
        <v>1</v>
      </c>
      <c r="H41" s="3" t="inlineStr">
        <is>
          <t>Banks discount at t-0.5: cash arrives through the year, not on 31 December.</t>
        </is>
      </c>
    </row>
    <row r="43" ht="16" customHeight="1">
      <c r="A43" s="4" t="inlineStr">
        <is>
          <t>SCENARIO INPUT TABLE  (edit here, not above)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22" t="inlineStr"/>
      <c r="B44" s="23" t="inlineStr"/>
      <c r="C44" s="23" t="inlineStr">
        <is>
          <t>2026E</t>
        </is>
      </c>
      <c r="D44" s="23" t="inlineStr">
        <is>
          <t>2027E</t>
        </is>
      </c>
      <c r="E44" s="23" t="inlineStr">
        <is>
          <t>2028E</t>
        </is>
      </c>
      <c r="F44" s="23" t="inlineStr">
        <is>
          <t>2029E</t>
        </is>
      </c>
      <c r="G44" s="23" t="inlineStr">
        <is>
          <t>2030E</t>
        </is>
      </c>
    </row>
    <row r="45">
      <c r="A45" s="5" t="inlineStr">
        <is>
          <t>MW delivered  -  BEAR</t>
        </is>
      </c>
      <c r="C45" s="47" t="n">
        <v>15200</v>
      </c>
      <c r="D45" s="47" t="n">
        <v>15400</v>
      </c>
      <c r="E45" s="47" t="n">
        <v>15600</v>
      </c>
      <c r="F45" s="47" t="n">
        <v>15700</v>
      </c>
      <c r="G45" s="47" t="n">
        <v>15800</v>
      </c>
    </row>
    <row r="46">
      <c r="A46" s="5" t="inlineStr">
        <is>
          <t>MW delivered  -  BASE</t>
        </is>
      </c>
      <c r="C46" s="47" t="n">
        <v>15800</v>
      </c>
      <c r="D46" s="47" t="n">
        <v>16300</v>
      </c>
      <c r="E46" s="47" t="n">
        <v>16900</v>
      </c>
      <c r="F46" s="47" t="n">
        <v>17300</v>
      </c>
      <c r="G46" s="47" t="n">
        <v>17600</v>
      </c>
    </row>
    <row r="47">
      <c r="A47" s="5" t="inlineStr">
        <is>
          <t>MW delivered  -  BULL</t>
        </is>
      </c>
      <c r="C47" s="47" t="n">
        <v>16300</v>
      </c>
      <c r="D47" s="47" t="n">
        <v>17200</v>
      </c>
      <c r="E47" s="47" t="n">
        <v>18100</v>
      </c>
      <c r="F47" s="47" t="n">
        <v>18800</v>
      </c>
      <c r="G47" s="47" t="n">
        <v>19400</v>
      </c>
    </row>
    <row r="48">
      <c r="A48" s="5" t="inlineStr">
        <is>
          <t>Gross margin  -  BEAR</t>
        </is>
      </c>
      <c r="C48" s="54" t="n">
        <v>0.138</v>
      </c>
      <c r="D48" s="54" t="n">
        <v>0.14</v>
      </c>
      <c r="E48" s="54" t="n">
        <v>0.142</v>
      </c>
      <c r="F48" s="54" t="n">
        <v>0.143</v>
      </c>
      <c r="G48" s="54" t="n">
        <v>0.144</v>
      </c>
    </row>
    <row r="49">
      <c r="A49" s="5" t="inlineStr">
        <is>
          <t>Gross margin  -  BASE</t>
        </is>
      </c>
      <c r="C49" s="54" t="n">
        <v>0.148</v>
      </c>
      <c r="D49" s="54" t="n">
        <v>0.153</v>
      </c>
      <c r="E49" s="54" t="n">
        <v>0.157</v>
      </c>
      <c r="F49" s="54" t="n">
        <v>0.161</v>
      </c>
      <c r="G49" s="54" t="n">
        <v>0.164</v>
      </c>
    </row>
    <row r="50">
      <c r="A50" s="5" t="inlineStr">
        <is>
          <t>Gross margin  -  BULL</t>
        </is>
      </c>
      <c r="C50" s="54" t="n">
        <v>0.156</v>
      </c>
      <c r="D50" s="54" t="n">
        <v>0.164</v>
      </c>
      <c r="E50" s="54" t="n">
        <v>0.171</v>
      </c>
      <c r="F50" s="54" t="n">
        <v>0.177</v>
      </c>
      <c r="G50" s="54" t="n">
        <v>0.182</v>
      </c>
    </row>
  </sheetData>
  <dataValidations count="1">
    <dataValidation sqref="B7" showDropDown="0" showInputMessage="0" showErrorMessage="0" allowBlank="0" type="list">
      <formula1>"1,2,3"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D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" customWidth="1" min="3" max="3"/>
    <col width="66" customWidth="1" min="4" max="4"/>
  </cols>
  <sheetData>
    <row r="1" ht="20" customHeight="1">
      <c r="A1" s="20" t="inlineStr">
        <is>
          <t>COST OF CAPITAL  —  WACC BUILD-UP</t>
        </is>
      </c>
    </row>
    <row r="2">
      <c r="A2" s="21" t="inlineStr">
        <is>
          <t>Every input is sourced and dated. Never hardcode a WACC without showing this page.</t>
        </is>
      </c>
    </row>
    <row r="4" ht="16" customHeight="1">
      <c r="A4" s="4" t="inlineStr">
        <is>
          <t>COST OF EQUITY  —  CAPM</t>
        </is>
      </c>
      <c r="B4" s="4" t="n"/>
      <c r="C4" s="4" t="n"/>
      <c r="D4" s="4" t="n"/>
    </row>
    <row r="5">
      <c r="A5" s="5" t="inlineStr">
        <is>
          <t>Risk-free rate (Rf)</t>
        </is>
      </c>
      <c r="B5" s="56" t="n">
        <v>0.0326</v>
      </c>
      <c r="D5" s="3" t="inlineStr">
        <is>
          <t>German 10Y Bund, 3.26% at 20-Aug-2026. Denmark is AAA and DKK is pegged to EUR.</t>
        </is>
      </c>
    </row>
    <row r="6">
      <c r="A6" s="5" t="inlineStr">
        <is>
          <t>Equity risk premium (ERP)</t>
        </is>
      </c>
      <c r="B6" s="56" t="n">
        <v>0.05</v>
      </c>
      <c r="D6" s="3" t="inlineStr">
        <is>
          <t>Mature-market implied ERP (Damodaran). Update every 6 months.</t>
        </is>
      </c>
    </row>
    <row r="7">
      <c r="A7" s="5" t="inlineStr">
        <is>
          <t>Country risk premium (CRP)</t>
        </is>
      </c>
      <c r="B7" s="56" t="n">
        <v>0</v>
      </c>
      <c r="D7" s="3" t="inlineStr">
        <is>
          <t>Denmark AAA -&gt; zero. Add CRP for EM-exposed names.</t>
        </is>
      </c>
    </row>
    <row r="8">
      <c r="A8" s="5" t="inlineStr">
        <is>
          <t>Levered (equity) beta</t>
        </is>
      </c>
      <c r="B8" s="57" t="n">
        <v>1.35</v>
      </c>
      <c r="D8" s="3" t="inlineStr">
        <is>
          <t>5Y monthly vs MSCI Europe. REPLACE with your own regression / Bloomberg BETA.</t>
        </is>
      </c>
    </row>
    <row r="9">
      <c r="A9" s="5" t="inlineStr">
        <is>
          <t>Size / idiosyncratic premium</t>
        </is>
      </c>
      <c r="B9" s="56" t="n">
        <v>0</v>
      </c>
      <c r="D9" s="3" t="inlineStr">
        <is>
          <t>Zero for a EUR 27bn large cap.</t>
        </is>
      </c>
    </row>
    <row r="10">
      <c r="A10" s="8" t="inlineStr">
        <is>
          <t>Cost of equity  (Ke = Rf + beta x (ERP+CRP) + size)</t>
        </is>
      </c>
      <c r="B10" s="58">
        <f>B5+B8*(B6+B7)+B9</f>
        <v/>
      </c>
    </row>
    <row r="12" ht="16" customHeight="1">
      <c r="A12" s="4" t="inlineStr">
        <is>
          <t>COST OF DEBT</t>
        </is>
      </c>
      <c r="B12" s="4" t="n"/>
      <c r="C12" s="4" t="n"/>
      <c r="D12" s="4" t="n"/>
    </row>
    <row r="13">
      <c r="A13" s="5" t="inlineStr">
        <is>
          <t>Risk-free rate</t>
        </is>
      </c>
      <c r="B13" s="59">
        <f>B5</f>
        <v/>
      </c>
    </row>
    <row r="14">
      <c r="A14" s="5" t="inlineStr">
        <is>
          <t>Credit spread</t>
        </is>
      </c>
      <c r="B14" s="56" t="n">
        <v>0.0105</v>
      </c>
      <c r="D14" s="3" t="inlineStr">
        <is>
          <t>Moody's Baa2 stable / BBB EUR industrial, approx. 105bps over Bund.</t>
        </is>
      </c>
    </row>
    <row r="15">
      <c r="A15" s="5" t="inlineStr">
        <is>
          <t>Pre-tax cost of debt (Kd)</t>
        </is>
      </c>
      <c r="B15" s="59">
        <f>B13+B14</f>
        <v/>
      </c>
    </row>
    <row r="16">
      <c r="A16" s="5" t="inlineStr">
        <is>
          <t>Marginal tax rate</t>
        </is>
      </c>
      <c r="B16" s="56" t="n">
        <v>0.25</v>
      </c>
      <c r="D16" s="3" t="inlineStr">
        <is>
          <t>Denmark statutory 22%; group effective rate approx. 25%.</t>
        </is>
      </c>
    </row>
    <row r="17">
      <c r="A17" s="8" t="inlineStr">
        <is>
          <t>After-tax cost of debt  (Kd x (1-t))</t>
        </is>
      </c>
      <c r="B17" s="58">
        <f>B15*(1-B16)</f>
        <v/>
      </c>
    </row>
    <row r="19" ht="16" customHeight="1">
      <c r="A19" s="4" t="inlineStr">
        <is>
          <t>CAPITAL STRUCTURE  (MARKET VALUES)</t>
        </is>
      </c>
      <c r="B19" s="4" t="n"/>
      <c r="C19" s="4" t="n"/>
      <c r="D19" s="4" t="n"/>
    </row>
    <row r="20">
      <c r="A20" s="5" t="inlineStr">
        <is>
          <t>Share price (DKK)</t>
        </is>
      </c>
      <c r="B20" s="57" t="n">
        <v>204.5</v>
      </c>
      <c r="D20" s="3" t="inlineStr">
        <is>
          <t>Nasdaq Copenhagen, VWS, close 14-Aug-2026. UPDATE THIS BEFORE ANY INTERVIEW.</t>
        </is>
      </c>
    </row>
    <row r="21">
      <c r="A21" s="5" t="inlineStr">
        <is>
          <t>Shares outstanding (m)</t>
        </is>
      </c>
      <c r="B21" s="60" t="n">
        <v>982.6</v>
      </c>
      <c r="D21" s="3" t="inlineStr">
        <is>
          <t>Net of treasury shares.</t>
        </is>
      </c>
    </row>
    <row r="22">
      <c r="A22" s="5" t="inlineStr">
        <is>
          <t>EUR / DKK</t>
        </is>
      </c>
      <c r="B22" s="57" t="n">
        <v>7.46</v>
      </c>
      <c r="D22" s="3" t="inlineStr">
        <is>
          <t>DKK pegged to EUR within +/-2.25% under ERM II.</t>
        </is>
      </c>
    </row>
    <row r="23">
      <c r="A23" s="5" t="inlineStr">
        <is>
          <t>Market capitalisation (EUR m)</t>
        </is>
      </c>
      <c r="B23" s="45">
        <f>B20*B21/B22</f>
        <v/>
      </c>
    </row>
    <row r="24">
      <c r="A24" s="5" t="inlineStr">
        <is>
          <t>Gross interest-bearing debt (EUR m)</t>
        </is>
      </c>
      <c r="B24" s="61" t="n">
        <v>3300</v>
      </c>
      <c r="D24" s="3" t="inlineStr">
        <is>
          <t>Bonds + EIB green loan + leases, approx. AR2024 level.</t>
        </is>
      </c>
    </row>
    <row r="25">
      <c r="A25" s="5" t="inlineStr">
        <is>
          <t>Total capitalisation (D + E)</t>
        </is>
      </c>
      <c r="B25" s="45">
        <f>B23+B24</f>
        <v/>
      </c>
    </row>
    <row r="26">
      <c r="A26" s="5" t="inlineStr">
        <is>
          <t>E / (D+E)</t>
        </is>
      </c>
      <c r="B26" s="42">
        <f>B23/B25</f>
        <v/>
      </c>
    </row>
    <row r="27">
      <c r="A27" s="5" t="inlineStr">
        <is>
          <t>D / (D+E)</t>
        </is>
      </c>
      <c r="B27" s="42">
        <f>B24/B25</f>
        <v/>
      </c>
    </row>
    <row r="29" ht="16" customHeight="1">
      <c r="A29" s="4" t="inlineStr">
        <is>
          <t>WACC</t>
        </is>
      </c>
      <c r="B29" s="4" t="n"/>
      <c r="C29" s="4" t="n"/>
      <c r="D29" s="4" t="n"/>
    </row>
    <row r="30">
      <c r="A30" s="8" t="inlineStr">
        <is>
          <t>WACC  =  E/(D+E) x Ke  +  D/(D+E) x Kd x (1-t)</t>
        </is>
      </c>
      <c r="B30" s="58">
        <f>B26*B10+B27*B17</f>
        <v/>
      </c>
      <c r="D30" s="3" t="inlineStr">
        <is>
          <t>THIS is the discount rate used in the DCF sheet.</t>
        </is>
      </c>
    </row>
    <row r="32" ht="16" customHeight="1">
      <c r="A32" s="4" t="inlineStr">
        <is>
          <t>CROSS-CHECKS</t>
        </is>
      </c>
      <c r="B32" s="4" t="n"/>
      <c r="C32" s="4" t="n"/>
      <c r="D32" s="4" t="n"/>
    </row>
    <row r="33">
      <c r="A33" s="5" t="inlineStr">
        <is>
          <t>Implied unlevered (asset) beta</t>
        </is>
      </c>
      <c r="B33" s="41">
        <f>B8/(1+(1-B16)*B24/B23)</f>
        <v/>
      </c>
      <c r="D33" s="3" t="inlineStr">
        <is>
          <t>Sanity: should be below the levered beta.</t>
        </is>
      </c>
    </row>
    <row r="34">
      <c r="A34" s="5" t="inlineStr">
        <is>
          <t>Net cash position (EUR m, + = net cash)</t>
        </is>
      </c>
      <c r="B34" s="7">
        <f>Historical!F31</f>
        <v/>
      </c>
      <c r="D34" s="3" t="inlineStr">
        <is>
          <t>Green font = link to another sheet.</t>
        </is>
      </c>
    </row>
    <row r="35">
      <c r="A35" s="5" t="inlineStr">
        <is>
          <t>Equity risk premium implied by Ke - Rf</t>
        </is>
      </c>
      <c r="B35" s="59">
        <f>B10-B5</f>
        <v/>
      </c>
    </row>
    <row r="36">
      <c r="A36" s="5" t="inlineStr">
        <is>
          <t>MEMO: WACC used by the previous version of this model</t>
        </is>
      </c>
      <c r="B36" s="56" t="n">
        <v>0.08</v>
      </c>
      <c r="D36" s="3" t="inlineStr">
        <is>
          <t>Hardcoded at 8.0% with no build-up. Too low given a 3.26% risk-free rate.</t>
        </is>
      </c>
    </row>
  </sheetData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2" customWidth="1" min="7" max="7"/>
  </cols>
  <sheetData>
    <row r="1" ht="20" customHeight="1">
      <c r="A1" s="20" t="inlineStr">
        <is>
          <t>VESTAS WIND SYSTEMS A/S  —  HISTORICAL FINANCIALS</t>
        </is>
      </c>
    </row>
    <row r="2">
      <c r="A2" s="21" t="inlineStr">
        <is>
          <t>EUR million unless stated. Source: Vestas Annual Reports 2022-2025 (five-year key figures) and FY2025 investor presentation.</t>
        </is>
      </c>
    </row>
    <row r="4">
      <c r="A4" s="22" t="inlineStr">
        <is>
          <t>EUR m</t>
        </is>
      </c>
      <c r="B4" s="23" t="inlineStr">
        <is>
          <t>2021A</t>
        </is>
      </c>
      <c r="C4" s="23" t="inlineStr">
        <is>
          <t>2022A</t>
        </is>
      </c>
      <c r="D4" s="23" t="inlineStr">
        <is>
          <t>2023A</t>
        </is>
      </c>
      <c r="E4" s="23" t="inlineStr">
        <is>
          <t>2024A</t>
        </is>
      </c>
      <c r="F4" s="23" t="inlineStr">
        <is>
          <t>2025A</t>
        </is>
      </c>
      <c r="G4" s="23" t="inlineStr">
        <is>
          <t>Source / comment</t>
        </is>
      </c>
    </row>
    <row r="6" ht="16" customHeight="1">
      <c r="A6" s="4" t="inlineStr">
        <is>
          <t>INCOME STATEMENT</t>
        </is>
      </c>
      <c r="B6" s="4" t="n"/>
      <c r="C6" s="4" t="n"/>
      <c r="D6" s="4" t="n"/>
      <c r="E6" s="4" t="n"/>
      <c r="F6" s="4" t="n"/>
      <c r="G6" s="4" t="n"/>
    </row>
    <row r="7">
      <c r="A7" s="8" t="inlineStr">
        <is>
          <t>Revenue</t>
        </is>
      </c>
      <c r="B7" s="62" t="n">
        <v>15587</v>
      </c>
      <c r="C7" s="62" t="n">
        <v>14486</v>
      </c>
      <c r="D7" s="62" t="n">
        <v>15382</v>
      </c>
      <c r="E7" s="62" t="n">
        <v>17295</v>
      </c>
      <c r="F7" s="62" t="n">
        <v>18822</v>
      </c>
      <c r="G7" s="3" t="inlineStr">
        <is>
          <t>Reported net sales. AR2024 p.10 five-year key figures; FY2025 AR.</t>
        </is>
      </c>
    </row>
    <row r="8">
      <c r="A8" s="5" t="inlineStr">
        <is>
          <t>Revenue growth %</t>
        </is>
      </c>
      <c r="B8" s="63" t="inlineStr">
        <is>
          <t>n.a.</t>
        </is>
      </c>
      <c r="C8" s="35">
        <f>C7/B7-1</f>
        <v/>
      </c>
      <c r="D8" s="35">
        <f>D7/C7-1</f>
        <v/>
      </c>
      <c r="E8" s="35">
        <f>E7/D7-1</f>
        <v/>
      </c>
      <c r="F8" s="35">
        <f>F7/E7-1</f>
        <v/>
      </c>
    </row>
    <row r="9">
      <c r="A9" s="5" t="inlineStr">
        <is>
          <t>Cost of goods sold</t>
        </is>
      </c>
      <c r="B9" s="32">
        <f>B7-B10</f>
        <v/>
      </c>
      <c r="C9" s="32">
        <f>C7-C10</f>
        <v/>
      </c>
      <c r="D9" s="32">
        <f>D7-D10</f>
        <v/>
      </c>
      <c r="E9" s="32">
        <f>E7-E10</f>
        <v/>
      </c>
      <c r="F9" s="32">
        <f>F7-F10</f>
        <v/>
      </c>
      <c r="G9" s="3" t="inlineStr">
        <is>
          <t>Derived: Revenue less gross profit.</t>
        </is>
      </c>
    </row>
    <row r="10">
      <c r="A10" s="8" t="inlineStr">
        <is>
          <t>Gross profit</t>
        </is>
      </c>
      <c r="B10" s="62" t="n">
        <v>1556</v>
      </c>
      <c r="C10" s="62" t="n">
        <v>118</v>
      </c>
      <c r="D10" s="62" t="n">
        <v>1283</v>
      </c>
      <c r="E10" s="62" t="n">
        <v>2057</v>
      </c>
      <c r="F10" s="62" t="n">
        <v>2497</v>
      </c>
      <c r="G10" s="3" t="inlineStr">
        <is>
          <t>Reported.</t>
        </is>
      </c>
    </row>
    <row r="11">
      <c r="A11" s="5" t="inlineStr">
        <is>
          <t>Gross margin %</t>
        </is>
      </c>
      <c r="B11" s="35">
        <f>B10/B7</f>
        <v/>
      </c>
      <c r="C11" s="35">
        <f>C10/C7</f>
        <v/>
      </c>
      <c r="D11" s="35">
        <f>D10/D7</f>
        <v/>
      </c>
      <c r="E11" s="35">
        <f>E10/E7</f>
        <v/>
      </c>
      <c r="F11" s="35">
        <f>F10/F7</f>
        <v/>
      </c>
    </row>
    <row r="12">
      <c r="A12" s="5" t="inlineStr">
        <is>
          <t>Operating expenses (derived plug)</t>
        </is>
      </c>
      <c r="B12" s="32">
        <f>B10-B13</f>
        <v/>
      </c>
      <c r="C12" s="32">
        <f>C10-C13</f>
        <v/>
      </c>
      <c r="D12" s="32">
        <f>D10-D13</f>
        <v/>
      </c>
      <c r="E12" s="32">
        <f>E10-E13</f>
        <v/>
      </c>
      <c r="F12" s="32">
        <f>F10-F13</f>
        <v/>
      </c>
      <c r="G12" s="3" t="inlineStr">
        <is>
          <t>Gross profit less EBITDA. Includes special items -&gt; volatile.</t>
        </is>
      </c>
    </row>
    <row r="13">
      <c r="A13" s="8" t="inlineStr">
        <is>
          <t>EBITDA (reported)</t>
        </is>
      </c>
      <c r="B13" s="62" t="n">
        <v>1271</v>
      </c>
      <c r="C13" s="62" t="n">
        <v>-437</v>
      </c>
      <c r="D13" s="62" t="n">
        <v>1089</v>
      </c>
      <c r="E13" s="62" t="n">
        <v>1658</v>
      </c>
      <c r="F13" s="62" t="n">
        <v>2053</v>
      </c>
      <c r="G13" s="3" t="inlineStr">
        <is>
          <t>REPORTED EBITDA, not b.s.i. Consistency matters (see Checks).</t>
        </is>
      </c>
    </row>
    <row r="14">
      <c r="A14" s="5" t="inlineStr">
        <is>
          <t>EBITDA margin %</t>
        </is>
      </c>
      <c r="B14" s="35">
        <f>B13/B7</f>
        <v/>
      </c>
      <c r="C14" s="35">
        <f>C13/C7</f>
        <v/>
      </c>
      <c r="D14" s="35">
        <f>D13/D7</f>
        <v/>
      </c>
      <c r="E14" s="35">
        <f>E13/E7</f>
        <v/>
      </c>
      <c r="F14" s="35">
        <f>F13/F7</f>
        <v/>
      </c>
    </row>
    <row r="15">
      <c r="A15" s="5" t="inlineStr">
        <is>
          <t>Depreciation &amp; amortisation</t>
        </is>
      </c>
      <c r="B15" s="32">
        <f>B13-B16</f>
        <v/>
      </c>
      <c r="C15" s="32">
        <f>C13-C16</f>
        <v/>
      </c>
      <c r="D15" s="32">
        <f>D13-D16</f>
        <v/>
      </c>
      <c r="E15" s="32">
        <f>E13-E16</f>
        <v/>
      </c>
      <c r="F15" s="32">
        <f>F13-F16</f>
        <v/>
      </c>
      <c r="G15" s="3" t="inlineStr">
        <is>
          <t>Derived: EBITDA less EBIT. Same result using b.s.i. figures.</t>
        </is>
      </c>
    </row>
    <row r="16">
      <c r="A16" s="8" t="inlineStr">
        <is>
          <t>EBIT (reported)</t>
        </is>
      </c>
      <c r="B16" s="62" t="n">
        <v>289</v>
      </c>
      <c r="C16" s="62" t="n">
        <v>-1596</v>
      </c>
      <c r="D16" s="62" t="n">
        <v>292</v>
      </c>
      <c r="E16" s="62" t="n">
        <v>794</v>
      </c>
      <c r="F16" s="62" t="n">
        <v>1015</v>
      </c>
      <c r="G16" s="3" t="inlineStr">
        <is>
          <t>Reported operating profit.</t>
        </is>
      </c>
    </row>
    <row r="17">
      <c r="A17" s="5" t="inlineStr">
        <is>
          <t>EBIT margin %</t>
        </is>
      </c>
      <c r="B17" s="35">
        <f>B16/B7</f>
        <v/>
      </c>
      <c r="C17" s="35">
        <f>C16/C7</f>
        <v/>
      </c>
      <c r="D17" s="35">
        <f>D16/D7</f>
        <v/>
      </c>
      <c r="E17" s="35">
        <f>E16/E7</f>
        <v/>
      </c>
      <c r="F17" s="35">
        <f>F16/F7</f>
        <v/>
      </c>
    </row>
    <row r="18">
      <c r="A18" s="5" t="inlineStr">
        <is>
          <t>EBIT before special items</t>
        </is>
      </c>
      <c r="B18" s="62" t="n">
        <v>428</v>
      </c>
      <c r="C18" s="62" t="n">
        <v>-1152</v>
      </c>
      <c r="D18" s="62" t="n">
        <v>231</v>
      </c>
      <c r="E18" s="62" t="n">
        <v>741</v>
      </c>
      <c r="F18" s="62" t="n">
        <v>1067</v>
      </c>
      <c r="G18" s="3" t="inlineStr">
        <is>
          <t>The metric Vestas guides on. FY2025 = 5.7% margin b.s.i.</t>
        </is>
      </c>
    </row>
    <row r="19">
      <c r="A19" s="5" t="inlineStr">
        <is>
          <t>EBIT margin b.s.i. %</t>
        </is>
      </c>
      <c r="B19" s="35">
        <f>B18/B7</f>
        <v/>
      </c>
      <c r="C19" s="35">
        <f>C18/C7</f>
        <v/>
      </c>
      <c r="D19" s="35">
        <f>D18/D7</f>
        <v/>
      </c>
      <c r="E19" s="35">
        <f>E18/E7</f>
        <v/>
      </c>
      <c r="F19" s="35">
        <f>F18/F7</f>
        <v/>
      </c>
    </row>
    <row r="20">
      <c r="A20" s="5" t="inlineStr">
        <is>
          <t>Profit before tax</t>
        </is>
      </c>
      <c r="B20" s="63" t="inlineStr">
        <is>
          <t>n.a.</t>
        </is>
      </c>
      <c r="C20" s="62" t="n">
        <v>-1696</v>
      </c>
      <c r="D20" s="62" t="n">
        <v>102</v>
      </c>
      <c r="E20" s="62" t="n">
        <v>705</v>
      </c>
      <c r="F20" s="62" t="n">
        <v>1039</v>
      </c>
      <c r="G20" s="3" t="inlineStr">
        <is>
          <t>2021 not captured in source extract -&gt; left n.a. deliberately.</t>
        </is>
      </c>
    </row>
    <row r="21">
      <c r="A21" s="5" t="inlineStr">
        <is>
          <t>Income tax expense</t>
        </is>
      </c>
      <c r="B21" s="63" t="inlineStr">
        <is>
          <t>n.a.</t>
        </is>
      </c>
      <c r="C21" s="32">
        <f>C20-C22</f>
        <v/>
      </c>
      <c r="D21" s="32">
        <f>D20-D22</f>
        <v/>
      </c>
      <c r="E21" s="32">
        <f>E20-E22</f>
        <v/>
      </c>
      <c r="F21" s="32">
        <f>F20-F22</f>
        <v/>
      </c>
      <c r="G21" s="3" t="inlineStr">
        <is>
          <t>Derived: PBT less net profit.</t>
        </is>
      </c>
    </row>
    <row r="22">
      <c r="A22" s="8" t="inlineStr">
        <is>
          <t>Net profit for the year</t>
        </is>
      </c>
      <c r="B22" s="62" t="n">
        <v>143</v>
      </c>
      <c r="C22" s="62" t="n">
        <v>-1572</v>
      </c>
      <c r="D22" s="62" t="n">
        <v>78</v>
      </c>
      <c r="E22" s="62" t="n">
        <v>494</v>
      </c>
      <c r="F22" s="62" t="n">
        <v>780</v>
      </c>
      <c r="G22" s="3" t="inlineStr">
        <is>
          <t>Reported.</t>
        </is>
      </c>
    </row>
    <row r="23">
      <c r="A23" s="5" t="inlineStr">
        <is>
          <t>Effective tax rate %</t>
        </is>
      </c>
      <c r="B23" s="63" t="inlineStr">
        <is>
          <t>n.a.</t>
        </is>
      </c>
      <c r="C23" s="63" t="inlineStr">
        <is>
          <t>n.a.</t>
        </is>
      </c>
      <c r="D23" s="35">
        <f>D21/D20</f>
        <v/>
      </c>
      <c r="E23" s="35">
        <f>E21/E20</f>
        <v/>
      </c>
      <c r="F23" s="35">
        <f>F21/F20</f>
        <v/>
      </c>
    </row>
    <row r="25" ht="16" customHeight="1">
      <c r="A25" s="4" t="inlineStr">
        <is>
          <t>BALANCE SHEET &amp; CASH FLOW</t>
        </is>
      </c>
      <c r="B25" s="4" t="n"/>
      <c r="C25" s="4" t="n"/>
      <c r="D25" s="4" t="n"/>
      <c r="E25" s="4" t="n"/>
      <c r="F25" s="4" t="n"/>
      <c r="G25" s="4" t="n"/>
    </row>
    <row r="26">
      <c r="A26" s="8" t="inlineStr">
        <is>
          <t>Net working capital (negative = net liability)</t>
        </is>
      </c>
      <c r="B26" s="62" t="n">
        <v>-1049</v>
      </c>
      <c r="C26" s="62" t="n">
        <v>-1349</v>
      </c>
      <c r="D26" s="62" t="n">
        <v>-1507</v>
      </c>
      <c r="E26" s="62" t="n">
        <v>-2297</v>
      </c>
      <c r="F26" s="62" t="n">
        <v>-3127</v>
      </c>
      <c r="G26" s="3" t="inlineStr">
        <is>
          <t>Vestas runs NEGATIVE working capital (customer prepayments).</t>
        </is>
      </c>
    </row>
    <row r="27">
      <c r="A27" s="5" t="inlineStr">
        <is>
          <t>NWC % of revenue</t>
        </is>
      </c>
      <c r="B27" s="35">
        <f>B26/B7</f>
        <v/>
      </c>
      <c r="C27" s="35">
        <f>C26/C7</f>
        <v/>
      </c>
      <c r="D27" s="35">
        <f>D26/D7</f>
        <v/>
      </c>
      <c r="E27" s="35">
        <f>E26/E7</f>
        <v/>
      </c>
      <c r="F27" s="35">
        <f>F26/F7</f>
        <v/>
      </c>
    </row>
    <row r="28">
      <c r="A28" s="5" t="inlineStr">
        <is>
          <t>Change in NWC (negative = cash inflow)</t>
        </is>
      </c>
      <c r="B28" s="63" t="inlineStr">
        <is>
          <t>n.a.</t>
        </is>
      </c>
      <c r="C28" s="32">
        <f>C26-B26</f>
        <v/>
      </c>
      <c r="D28" s="32">
        <f>D26-C26</f>
        <v/>
      </c>
      <c r="E28" s="32">
        <f>E26-D26</f>
        <v/>
      </c>
      <c r="F28" s="32">
        <f>F26-E26</f>
        <v/>
      </c>
      <c r="G28" s="3" t="inlineStr">
        <is>
          <t>KEY: this is a CHANGE, not a level. See Checks tab.</t>
        </is>
      </c>
    </row>
    <row r="29">
      <c r="A29" s="5" t="inlineStr">
        <is>
          <t>Total net investments (capex incl. intangibles)</t>
        </is>
      </c>
      <c r="B29" s="63" t="inlineStr">
        <is>
          <t>n.a.</t>
        </is>
      </c>
      <c r="C29" s="63" t="inlineStr">
        <is>
          <t>n.a.</t>
        </is>
      </c>
      <c r="D29" s="62" t="n">
        <v>782</v>
      </c>
      <c r="E29" s="62" t="n">
        <v>1341</v>
      </c>
      <c r="F29" s="62" t="n">
        <v>1250</v>
      </c>
      <c r="G29" s="3" t="inlineStr">
        <is>
          <t>Cash flow from investing, net. FY2026 guidance approx. EUR 1.2bn.</t>
        </is>
      </c>
    </row>
    <row r="30">
      <c r="A30" s="5" t="inlineStr">
        <is>
          <t>Capex % of revenue</t>
        </is>
      </c>
      <c r="B30" s="63" t="inlineStr">
        <is>
          <t>n.a.</t>
        </is>
      </c>
      <c r="C30" s="63" t="inlineStr">
        <is>
          <t>n.a.</t>
        </is>
      </c>
      <c r="D30" s="35">
        <f>D29/D7</f>
        <v/>
      </c>
      <c r="E30" s="35">
        <f>E29/E7</f>
        <v/>
      </c>
      <c r="F30" s="35">
        <f>F29/F7</f>
        <v/>
      </c>
    </row>
    <row r="31">
      <c r="A31" s="8" t="inlineStr">
        <is>
          <t>Net interest-bearing position (+ = NET CASH)</t>
        </is>
      </c>
      <c r="B31" s="63" t="inlineStr">
        <is>
          <t>n.a.</t>
        </is>
      </c>
      <c r="C31" s="63" t="inlineStr">
        <is>
          <t>n.a.</t>
        </is>
      </c>
      <c r="D31" s="62" t="n">
        <v>32</v>
      </c>
      <c r="E31" s="62" t="n">
        <v>809</v>
      </c>
      <c r="F31" s="62" t="n">
        <v>1174</v>
      </c>
      <c r="G31" s="3" t="inlineStr">
        <is>
          <t>POSITIVE = net cash. Vestas is net cash: ADD to EV, do not subtract.</t>
        </is>
      </c>
    </row>
    <row r="32">
      <c r="A32" s="5" t="inlineStr">
        <is>
          <t>Shares outstanding, end of period (m)</t>
        </is>
      </c>
      <c r="B32" s="63" t="inlineStr">
        <is>
          <t>n.a.</t>
        </is>
      </c>
      <c r="C32" s="63" t="inlineStr">
        <is>
          <t>n.a.</t>
        </is>
      </c>
      <c r="D32" s="63" t="inlineStr">
        <is>
          <t>n.a.</t>
        </is>
      </c>
      <c r="E32" s="64" t="n">
        <v>1009.9</v>
      </c>
      <c r="F32" s="64" t="n">
        <v>982.6</v>
      </c>
      <c r="G32" s="3" t="inlineStr">
        <is>
          <t>2025 net of buybacks. Issued share capital: 1,009,867,260.</t>
        </is>
      </c>
    </row>
    <row r="34" ht="16" customHeight="1">
      <c r="A34" s="4" t="inlineStr">
        <is>
          <t>FY2025 SEGMENT &amp; OPERATIONAL DATA</t>
        </is>
      </c>
      <c r="B34" s="4" t="n"/>
      <c r="C34" s="4" t="n"/>
      <c r="D34" s="4" t="n"/>
      <c r="E34" s="4" t="n"/>
      <c r="F34" s="4" t="n"/>
      <c r="G34" s="4" t="n"/>
    </row>
    <row r="35">
      <c r="A35" s="5" t="inlineStr">
        <is>
          <t>Power Solutions revenue (derived)</t>
        </is>
      </c>
      <c r="F35" s="32">
        <f>F7-F36</f>
        <v/>
      </c>
      <c r="G35" s="3" t="inlineStr">
        <is>
          <t>Total revenue less Service revenue.</t>
        </is>
      </c>
    </row>
    <row r="36">
      <c r="A36" s="5" t="inlineStr">
        <is>
          <t>Service revenue</t>
        </is>
      </c>
      <c r="F36" s="62" t="n">
        <v>3648</v>
      </c>
      <c r="G36" s="3" t="inlineStr">
        <is>
          <t>FY2025 investor presentation.</t>
        </is>
      </c>
    </row>
    <row r="37">
      <c r="A37" s="5" t="inlineStr">
        <is>
          <t>Service % of total revenue</t>
        </is>
      </c>
      <c r="F37" s="35">
        <f>F36/F7</f>
        <v/>
      </c>
    </row>
    <row r="38">
      <c r="A38" s="5" t="inlineStr">
        <is>
          <t>MW delivered (GW equivalent x 1000)</t>
        </is>
      </c>
      <c r="F38" s="62" t="n">
        <v>14537</v>
      </c>
      <c r="G38" s="3" t="inlineStr">
        <is>
          <t>Deliveries in MW, FY2025.</t>
        </is>
      </c>
    </row>
    <row r="39">
      <c r="A39" s="5" t="inlineStr">
        <is>
          <t>Implied ASP - Power Solutions (EUR m / MW)</t>
        </is>
      </c>
      <c r="F39" s="24">
        <f>F35/F38</f>
        <v/>
      </c>
      <c r="G39" s="3" t="inlineStr">
        <is>
          <t>CORRECT ASP uses Power Solutions revenue only, NOT total revenue.</t>
        </is>
      </c>
    </row>
    <row r="40">
      <c r="A40" s="5" t="inlineStr">
        <is>
          <t>Order intake (GW)</t>
        </is>
      </c>
      <c r="F40" s="64" t="n">
        <v>16.3</v>
      </c>
    </row>
    <row r="41">
      <c r="A41" s="5" t="inlineStr">
        <is>
          <t>Order backlog - Power Solutions (EUR bn)</t>
        </is>
      </c>
      <c r="F41" s="64" t="n">
        <v>33.2</v>
      </c>
    </row>
    <row r="42">
      <c r="A42" s="5" t="inlineStr">
        <is>
          <t>Order backlog - Service (EUR bn)</t>
        </is>
      </c>
      <c r="F42" s="64" t="n">
        <v>38.7</v>
      </c>
    </row>
    <row r="43">
      <c r="A43" s="8" t="inlineStr">
        <is>
          <t>Combined order backlog (EUR bn)</t>
        </is>
      </c>
      <c r="F43" s="30">
        <f>F41+F42</f>
        <v/>
      </c>
      <c r="G43" s="3" t="inlineStr">
        <is>
          <t>Approx. 3.8x FY2025 revenue - the single most important KPI for Vestas.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4" customWidth="1" min="3" max="3"/>
    <col width="70" customWidth="1" min="4" max="4"/>
  </cols>
  <sheetData>
    <row r="1" ht="20" customHeight="1">
      <c r="A1" s="20" t="inlineStr">
        <is>
          <t>MODEL INTEGRITY CHECKS</t>
        </is>
      </c>
    </row>
    <row r="2">
      <c r="A2" s="21" t="inlineStr">
        <is>
          <t>Open this tab first. If anything says FAIL, the valuation is not ready to be shown to anybody.</t>
        </is>
      </c>
    </row>
    <row r="4">
      <c r="A4" s="22" t="inlineStr">
        <is>
          <t>Check</t>
        </is>
      </c>
      <c r="B4" s="23" t="inlineStr">
        <is>
          <t>Value</t>
        </is>
      </c>
      <c r="C4" s="23" t="inlineStr">
        <is>
          <t>Status</t>
        </is>
      </c>
      <c r="D4" s="23" t="inlineStr">
        <is>
          <t>Why it matters</t>
        </is>
      </c>
    </row>
    <row r="5">
      <c r="A5" s="5" t="inlineStr">
        <is>
          <t>2026E revenue inside company guidance EUR 20.0-22.0bn</t>
        </is>
      </c>
      <c r="B5" s="45">
        <f>'P&amp;L'!C7</f>
        <v/>
      </c>
      <c r="C5" s="65">
        <f>IF(AND('P&amp;L'!C7&gt;=20000,'P&amp;L'!C7&lt;=22000),"PASS","FAIL")</f>
        <v/>
      </c>
      <c r="D5" s="3" t="inlineStr">
        <is>
          <t>Your forecast must be reconciled to what management has publicly guided.</t>
        </is>
      </c>
    </row>
    <row r="6">
      <c r="A6" s="5" t="inlineStr">
        <is>
          <t>2026E EBIT margin inside guidance 6.0-8.0%</t>
        </is>
      </c>
      <c r="B6" s="42">
        <f>'P&amp;L'!C17</f>
        <v/>
      </c>
      <c r="C6" s="65">
        <f>IF(AND('P&amp;L'!C17&gt;=0.06,'P&amp;L'!C17&lt;=0.08),"PASS","FAIL")</f>
        <v/>
      </c>
      <c r="D6" s="3" t="inlineStr">
        <is>
          <t>Same logic on profitability.</t>
        </is>
      </c>
    </row>
    <row r="7">
      <c r="A7" s="5" t="inlineStr">
        <is>
          <t>Terminal growth below WACC</t>
        </is>
      </c>
      <c r="B7" s="59">
        <f>DCF!$B$6</f>
        <v/>
      </c>
      <c r="C7" s="65">
        <f>IF(DCF!$B$6&lt;DCF!$B$5,"PASS","FAIL")</f>
        <v/>
      </c>
      <c r="D7" s="3" t="inlineStr">
        <is>
          <t>If g &gt;= WACC the Gordon formula returns a negative or infinite value.</t>
        </is>
      </c>
    </row>
    <row r="8">
      <c r="A8" s="5" t="inlineStr">
        <is>
          <t>Terminal growth at or below long-run nominal GDP (3.0%)</t>
        </is>
      </c>
      <c r="B8" s="59">
        <f>DCF!$B$6</f>
        <v/>
      </c>
      <c r="C8" s="65">
        <f>IF(DCF!$B$6&lt;=0.03,"PASS","FAIL")</f>
        <v/>
      </c>
      <c r="D8" s="3" t="inlineStr">
        <is>
          <t>No company outgrows its economy forever.</t>
        </is>
      </c>
    </row>
    <row r="9">
      <c r="A9" s="5" t="inlineStr">
        <is>
          <t>Terminal value below 80% of enterprise value</t>
        </is>
      </c>
      <c r="B9" s="42">
        <f>DCF!H32</f>
        <v/>
      </c>
      <c r="C9" s="65">
        <f>IF(DCF!H32&lt;0.8,"PASS","REVIEW")</f>
        <v/>
      </c>
      <c r="D9" s="3" t="inlineStr">
        <is>
          <t>If almost all the value is in the terminal year, extend the forecast horizon.</t>
        </is>
      </c>
    </row>
    <row r="10">
      <c r="A10" s="5" t="inlineStr">
        <is>
          <t>Terminal-year capex within 10% of D&amp;A</t>
        </is>
      </c>
      <c r="B10" s="49">
        <f>Assumptions!G31</f>
        <v/>
      </c>
      <c r="C10" s="65">
        <f>IF(ABS(Assumptions!G31-1)&lt;0.1,"PASS","REVIEW")</f>
        <v/>
      </c>
      <c r="D10" s="3" t="inlineStr">
        <is>
          <t>A perpetuity needs a business that reinvests enough to stand still.</t>
        </is>
      </c>
    </row>
    <row r="11">
      <c r="A11" s="5" t="inlineStr">
        <is>
          <t>Net cash ADDED to enterprise value (sign check)</t>
        </is>
      </c>
      <c r="B11" s="45">
        <f>DCF!$B$9</f>
        <v/>
      </c>
      <c r="C11" s="65">
        <f>IF(DCF!H34&gt;DCF!H31,"PASS - net cash added","CHECK SIGN")</f>
        <v/>
      </c>
      <c r="D11" s="3" t="inlineStr">
        <is>
          <t>Vestas is net cash. Subtracting it understates equity value by twice the amount.</t>
        </is>
      </c>
    </row>
    <row r="12">
      <c r="A12" s="5" t="inlineStr">
        <is>
          <t>Working capital not doing the heavy lifting (2027E)</t>
        </is>
      </c>
      <c r="B12" s="42">
        <f>FCF!D20</f>
        <v/>
      </c>
      <c r="C12" s="65">
        <f>IF(ABS(FCF!D20)&lt;0.3,"PASS","REVIEW")</f>
        <v/>
      </c>
      <c r="D12" s="3" t="inlineStr">
        <is>
          <t>If WC contributes more than 30% of FCF, the cash flow is an assumption, not a business.</t>
        </is>
      </c>
    </row>
    <row r="13">
      <c r="A13" s="5" t="inlineStr">
        <is>
          <t>Implied exit multiple from Gordon TV is plausible (5x-15x)</t>
        </is>
      </c>
      <c r="B13" s="49">
        <f>DCF!F26</f>
        <v/>
      </c>
      <c r="C13" s="65">
        <f>IF(AND(DCF!F26&gt;5,DCF!F26&lt;15),"PASS","REVIEW")</f>
        <v/>
      </c>
      <c r="D13" s="3" t="inlineStr">
        <is>
          <t>Cross-checks the perpetuity against how the sector is actually priced.</t>
        </is>
      </c>
    </row>
    <row r="14">
      <c r="A14" s="5" t="inlineStr">
        <is>
          <t>Reverse DCF: growth priced in by the market below 4%</t>
        </is>
      </c>
      <c r="B14" s="59">
        <f>DCF!H64</f>
        <v/>
      </c>
      <c r="C14" s="65">
        <f>IF(DCF!H64&lt;0.04,"PASS","MARKET IS AGGRESSIVE")</f>
        <v/>
      </c>
      <c r="D14" s="3" t="inlineStr">
        <is>
          <t>Tells you whether the market or your model is the outlier.</t>
        </is>
      </c>
    </row>
    <row r="15">
      <c r="A15" s="5" t="inlineStr">
        <is>
          <t>Historical D&amp;A ties: EBITDA less EBIT (2024A)</t>
        </is>
      </c>
      <c r="B15" s="45">
        <f>Historical!E15</f>
        <v/>
      </c>
      <c r="C15" s="65">
        <f>IF(Historical!E15=Historical!E13-Historical!E16,"PASS","FAIL")</f>
        <v/>
      </c>
      <c r="D15" s="3" t="inlineStr">
        <is>
          <t>The old model used 811 here by mixing reported EBIT with EBITDA b.s.i. Correct figure: 864.</t>
        </is>
      </c>
    </row>
    <row r="16">
      <c r="A16" s="5" t="inlineStr">
        <is>
          <t>Effective tax rate 2025A between 15% and 35%</t>
        </is>
      </c>
      <c r="B16" s="42">
        <f>Historical!F23</f>
        <v/>
      </c>
      <c r="C16" s="65">
        <f>IF(AND(Historical!F23&gt;0.15,Historical!F23&lt;0.35),"PASS","REVIEW")</f>
        <v/>
      </c>
      <c r="D16" s="3" t="inlineStr">
        <is>
          <t>Catches a mis-keyed tax line.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2026-08-21T17:15:56Z</dcterms:created>
  <dcterms:modified xmlns:dcterms="http://purl.org/dc/terms/" xmlns:xsi="http://www.w3.org/2001/XMLSchema-instance" xsi:type="dcterms:W3CDTF">2026-08-21T17:15:56Z</dcterms:modified>
</cp:coreProperties>
</file>