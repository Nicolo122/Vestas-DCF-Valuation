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/Desktop/Finance Project /01_Companies /"/>
    </mc:Choice>
  </mc:AlternateContent>
  <xr:revisionPtr revIDLastSave="0" documentId="13_ncr:1_{406B65CE-66C0-F34C-8EFA-E503C2C2D751}" xr6:coauthVersionLast="47" xr6:coauthVersionMax="47" xr10:uidLastSave="{00000000-0000-0000-0000-000000000000}"/>
  <bookViews>
    <workbookView xWindow="380" yWindow="620" windowWidth="28040" windowHeight="16220" xr2:uid="{1C2D2A8C-FBED-434F-BE59-729498122DBB}"/>
  </bookViews>
  <sheets>
    <sheet name="Historical" sheetId="6" r:id="rId1"/>
    <sheet name="Assumptions " sheetId="3" r:id="rId2"/>
    <sheet name="P&amp;L" sheetId="4" r:id="rId3"/>
    <sheet name="Cash Flow" sheetId="5" r:id="rId4"/>
    <sheet name="DCF 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" l="1"/>
  <c r="C4" i="7"/>
  <c r="D4" i="7"/>
  <c r="E4" i="7"/>
  <c r="C3" i="7"/>
  <c r="D3" i="7"/>
  <c r="E3" i="7"/>
  <c r="E7" i="7" s="1"/>
  <c r="B4" i="7"/>
  <c r="B3" i="7"/>
  <c r="D3" i="5"/>
  <c r="E3" i="5"/>
  <c r="F3" i="5"/>
  <c r="F5" i="5" s="1"/>
  <c r="F11" i="5" s="1"/>
  <c r="D4" i="5"/>
  <c r="D5" i="5" s="1"/>
  <c r="D11" i="5" s="1"/>
  <c r="E4" i="5"/>
  <c r="F4" i="5"/>
  <c r="E5" i="5"/>
  <c r="E11" i="5" s="1"/>
  <c r="D7" i="5"/>
  <c r="E7" i="5"/>
  <c r="F7" i="5"/>
  <c r="D8" i="5"/>
  <c r="E8" i="5"/>
  <c r="F8" i="5"/>
  <c r="D9" i="5"/>
  <c r="E9" i="5"/>
  <c r="F9" i="5"/>
  <c r="C9" i="5"/>
  <c r="C8" i="5"/>
  <c r="B8" i="5"/>
  <c r="B14" i="4"/>
  <c r="B13" i="4"/>
  <c r="B4" i="5" s="1"/>
  <c r="B11" i="4"/>
  <c r="B3" i="5" s="1"/>
  <c r="B8" i="4"/>
  <c r="B4" i="4"/>
  <c r="B3" i="4"/>
  <c r="B11" i="3"/>
  <c r="B10" i="3"/>
  <c r="B5" i="3"/>
  <c r="B4" i="3"/>
  <c r="D10" i="6"/>
  <c r="B10" i="4" s="1"/>
  <c r="C10" i="6"/>
  <c r="B10" i="6"/>
  <c r="D5" i="6"/>
  <c r="D7" i="6" s="1"/>
  <c r="C5" i="6"/>
  <c r="C7" i="6" s="1"/>
  <c r="B5" i="6"/>
  <c r="B7" i="6" s="1"/>
  <c r="D3" i="4"/>
  <c r="D4" i="4" s="1"/>
  <c r="E3" i="4"/>
  <c r="E4" i="4" s="1"/>
  <c r="F3" i="4"/>
  <c r="F7" i="4" s="1"/>
  <c r="C3" i="4"/>
  <c r="C10" i="4" s="1"/>
  <c r="C7" i="5" s="1"/>
  <c r="C5" i="7" l="1"/>
  <c r="B5" i="7"/>
  <c r="E8" i="7"/>
  <c r="D5" i="7"/>
  <c r="E5" i="7"/>
  <c r="F10" i="7" s="1"/>
  <c r="F12" i="7" s="1"/>
  <c r="B7" i="3"/>
  <c r="B7" i="4"/>
  <c r="B5" i="4"/>
  <c r="B6" i="3"/>
  <c r="B8" i="3"/>
  <c r="C11" i="5"/>
  <c r="B5" i="5"/>
  <c r="B7" i="5"/>
  <c r="B9" i="5"/>
  <c r="E7" i="4"/>
  <c r="F10" i="4"/>
  <c r="D7" i="4"/>
  <c r="E10" i="4"/>
  <c r="F5" i="4"/>
  <c r="F8" i="4" s="1"/>
  <c r="F11" i="4" s="1"/>
  <c r="D10" i="4"/>
  <c r="E5" i="4"/>
  <c r="E8" i="4" s="1"/>
  <c r="E11" i="4" s="1"/>
  <c r="D5" i="4"/>
  <c r="F4" i="4"/>
  <c r="C4" i="4"/>
  <c r="C5" i="4" s="1"/>
  <c r="C7" i="4"/>
  <c r="B11" i="5" l="1"/>
  <c r="D8" i="4"/>
  <c r="D11" i="4" s="1"/>
  <c r="D13" i="4" s="1"/>
  <c r="F13" i="4"/>
  <c r="F14" i="4" s="1"/>
  <c r="E13" i="4"/>
  <c r="E14" i="4"/>
  <c r="C8" i="4"/>
  <c r="C11" i="4" s="1"/>
  <c r="D14" i="4" l="1"/>
  <c r="C13" i="4"/>
  <c r="C3" i="5"/>
  <c r="C14" i="4" l="1"/>
  <c r="C4" i="5"/>
  <c r="C5" i="5" s="1"/>
</calcChain>
</file>

<file path=xl/sharedStrings.xml><?xml version="1.0" encoding="utf-8"?>
<sst xmlns="http://schemas.openxmlformats.org/spreadsheetml/2006/main" count="138" uniqueCount="109">
  <si>
    <t>2025</t>
  </si>
  <si>
    <t>2024</t>
  </si>
  <si>
    <t>2023</t>
  </si>
  <si>
    <t xml:space="preserve">EBITDA </t>
  </si>
  <si>
    <t>EBIT</t>
  </si>
  <si>
    <t xml:space="preserve">Net Income </t>
  </si>
  <si>
    <t>Capex</t>
  </si>
  <si>
    <t xml:space="preserve">Gross Profit </t>
  </si>
  <si>
    <t>2025A</t>
  </si>
  <si>
    <t>2026E</t>
  </si>
  <si>
    <t>2027E</t>
  </si>
  <si>
    <t>2028E</t>
  </si>
  <si>
    <t>2029E</t>
  </si>
  <si>
    <t>Notes</t>
  </si>
  <si>
    <t>Revenue Growth %</t>
  </si>
  <si>
    <t>Gross Margin %</t>
  </si>
  <si>
    <t>Depreciation &amp; Amortization %</t>
  </si>
  <si>
    <t>∆ Net Working Capital %</t>
  </si>
  <si>
    <t>Tax Rate %</t>
  </si>
  <si>
    <t>WACC</t>
  </si>
  <si>
    <t xml:space="preserve">Terminal Growth </t>
  </si>
  <si>
    <t xml:space="preserve">Deliveries MW </t>
  </si>
  <si>
    <t xml:space="preserve">Average Selling Price </t>
  </si>
  <si>
    <t>Revenue Assumptions</t>
  </si>
  <si>
    <t>Profitability Assumptions</t>
  </si>
  <si>
    <t>Opex % Revenue</t>
  </si>
  <si>
    <t>Operating Assumptions</t>
  </si>
  <si>
    <t>Tax Assumptions</t>
  </si>
  <si>
    <t>Valuation Assumptions</t>
  </si>
  <si>
    <t xml:space="preserve">(EBITDA - EBIT) / Revenue </t>
  </si>
  <si>
    <t>MW Delivered (Annual Report)</t>
  </si>
  <si>
    <t>Gross Profit / Revenue (Annual Report)</t>
  </si>
  <si>
    <t xml:space="preserve">(NWC 2025 - NWC 2024) / Revenue </t>
  </si>
  <si>
    <t>Income Tax / Profit Before Tax</t>
  </si>
  <si>
    <t xml:space="preserve">Estimated based on CAPM and European industrial peer discount rates </t>
  </si>
  <si>
    <t xml:space="preserve">Based on long term Inflation and mature industrial growth expectations </t>
  </si>
  <si>
    <t xml:space="preserve">Revenue </t>
  </si>
  <si>
    <t>COGS</t>
  </si>
  <si>
    <t>Opex</t>
  </si>
  <si>
    <t>EBITDA</t>
  </si>
  <si>
    <t>Depreciation &amp; Amortization</t>
  </si>
  <si>
    <t xml:space="preserve">EBIT </t>
  </si>
  <si>
    <t xml:space="preserve">Taxes </t>
  </si>
  <si>
    <t>Derived from revenue and gross margin assumptions</t>
  </si>
  <si>
    <t>Revenue - COGS</t>
  </si>
  <si>
    <t>Opex estimated as a percentage of revenue</t>
  </si>
  <si>
    <t>Gross Profit - Opex</t>
  </si>
  <si>
    <t>Estimated as a percentage of revenue based on historical levels</t>
  </si>
  <si>
    <t>EBITDA - Depreciation &amp; Amortization</t>
  </si>
  <si>
    <t>EBIT - taxes</t>
  </si>
  <si>
    <t>Financial Key Figures</t>
  </si>
  <si>
    <t>Tax</t>
  </si>
  <si>
    <t>NOPAT</t>
  </si>
  <si>
    <t>D&amp;A</t>
  </si>
  <si>
    <t>∆NWC</t>
  </si>
  <si>
    <t>Free Cash Flow</t>
  </si>
  <si>
    <t>Capex % Revenue</t>
  </si>
  <si>
    <t>Capex modeled as % of revenue, gradually decreasing due to efficiency gains</t>
  </si>
  <si>
    <t>Revenue</t>
  </si>
  <si>
    <t xml:space="preserve">Opex </t>
  </si>
  <si>
    <t>Net Income</t>
  </si>
  <si>
    <t>Operating</t>
  </si>
  <si>
    <t>Profitability</t>
  </si>
  <si>
    <t>Cash</t>
  </si>
  <si>
    <t>Total company sales for period</t>
  </si>
  <si>
    <t>Direct production and delivery costs</t>
  </si>
  <si>
    <t xml:space="preserve">Opex excluding production costs </t>
  </si>
  <si>
    <t>Operating profit before D&amp;A</t>
  </si>
  <si>
    <t>Operating profit after D&amp;A</t>
  </si>
  <si>
    <t xml:space="preserve">Tax expense based on pre-tax profit </t>
  </si>
  <si>
    <t xml:space="preserve">Profit after all expenses and taxes </t>
  </si>
  <si>
    <t>Investmanets in property, plant, equipment</t>
  </si>
  <si>
    <t>Revenue divided by MW delivered</t>
  </si>
  <si>
    <t>Implied from revenue derived as Deliveries * ASP</t>
  </si>
  <si>
    <t>Calculated as (Gross Profit - EBITDA) / Revenue</t>
  </si>
  <si>
    <t>Historical 2025A reported; forecast years based on constant effective tax rate</t>
  </si>
  <si>
    <t>Calculated as Deliveries * ASP</t>
  </si>
  <si>
    <t>From P&amp;L</t>
  </si>
  <si>
    <t xml:space="preserve">EBIT after tax </t>
  </si>
  <si>
    <t>Non-cash expense added back</t>
  </si>
  <si>
    <t xml:space="preserve">% of revenue assumption </t>
  </si>
  <si>
    <t xml:space="preserve">Change in working capital </t>
  </si>
  <si>
    <t xml:space="preserve">Cash available to investors </t>
  </si>
  <si>
    <t xml:space="preserve">From P&amp;L / based on effective tax rate </t>
  </si>
  <si>
    <t xml:space="preserve">Free Cash Flow </t>
  </si>
  <si>
    <t xml:space="preserve">Discount Factor </t>
  </si>
  <si>
    <t>Present Value FCF</t>
  </si>
  <si>
    <t xml:space="preserve">Terminal Value </t>
  </si>
  <si>
    <t>PV Terminal Value</t>
  </si>
  <si>
    <t xml:space="preserve">Enterprise Value </t>
  </si>
  <si>
    <t xml:space="preserve">Net Debt </t>
  </si>
  <si>
    <t xml:space="preserve">Equity Value </t>
  </si>
  <si>
    <t xml:space="preserve">Value </t>
  </si>
  <si>
    <t>Interest-bearing position (net)</t>
  </si>
  <si>
    <t>Net interest-bearing debt (annual report)</t>
  </si>
  <si>
    <t xml:space="preserve">Capital structure </t>
  </si>
  <si>
    <t>From Cash Flow statement (NOPAT + D&amp;A - Capes - ∆NWC)</t>
  </si>
  <si>
    <t xml:space="preserve">Discounted using WACC (8%) over forcast period </t>
  </si>
  <si>
    <t>FCF discounted to present value using WACC</t>
  </si>
  <si>
    <t>Calculated using Gordon Growth Model (g=2%)</t>
  </si>
  <si>
    <t xml:space="preserve">Terminal vallue discounted to present value </t>
  </si>
  <si>
    <t xml:space="preserve">Sum of discounted cash flows and terminal value </t>
  </si>
  <si>
    <t>Latest reported net interest-bearing position (2025)</t>
  </si>
  <si>
    <t xml:space="preserve">Enterprise Value minus Net Debt </t>
  </si>
  <si>
    <t>Historical Financials (€m)</t>
  </si>
  <si>
    <t>Assumptions Vestas (€m)</t>
  </si>
  <si>
    <t>P&amp;L Vestas (€m)</t>
  </si>
  <si>
    <t>Cash Flow Vestas (€m)</t>
  </si>
  <si>
    <t>Discounted Cash Flow Vestas (€m)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</si>
</sst>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.0_);_(* \(#,##0.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3" fontId="0" fillId="0" borderId="1" xfId="2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43" fontId="0" fillId="0" borderId="1" xfId="0" applyNumberFormat="1" applyBorder="1" applyAlignment="1">
      <alignment horizontal="center"/>
    </xf>
    <xf numFmtId="0" fontId="0" fillId="4" borderId="8" xfId="0" applyFill="1" applyBorder="1" applyAlignment="1">
      <alignment horizontal="center"/>
    </xf>
    <xf numFmtId="9" fontId="0" fillId="0" borderId="0" xfId="1" applyFont="1"/>
    <xf numFmtId="43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1" applyNumberFormat="1" applyFont="1"/>
    <xf numFmtId="164" fontId="0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4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(* #,##0.0_);_(* \(#,##0.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4E7A99-3343-BE4E-ACBC-D35154581427}" name="Historical" displayName="Historical" ref="A2:E17" totalsRowShown="0" headerRowDxfId="47" dataDxfId="45" headerRowBorderDxfId="46" tableBorderDxfId="44" totalsRowBorderDxfId="43">
  <autoFilter ref="A2:E17" xr:uid="{D54E7A99-3343-BE4E-ACBC-D3515458142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9E90E-46D9-3C41-8365-141CABABCEA2}" name="Financial Key Figures" dataDxfId="42"/>
    <tableColumn id="2" xr3:uid="{81E2B56B-4827-C24A-8DA3-82BF807287B4}" name="2023" dataDxfId="41"/>
    <tableColumn id="3" xr3:uid="{CBB7DB0B-57AD-DF47-A6D2-9ACE26AA194C}" name="2024" dataDxfId="40"/>
    <tableColumn id="4" xr3:uid="{097F2FE9-30CF-E54F-90A2-1BED3E608D8A}" name="2025" dataDxfId="39"/>
    <tableColumn id="5" xr3:uid="{4AE6E0AE-816E-D640-AF62-7C4221ED585C}" name="Notes" dataDxfId="3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BCC0E4-22C0-8948-A2B6-240BEF163F89}" name="Assumptions" displayName="Assumptions" ref="A2:G13" totalsRowShown="0" headerRowDxfId="37">
  <autoFilter ref="A2:G13" xr:uid="{1BBCC0E4-22C0-8948-A2B6-240BEF163F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19A6407-F587-3B4C-B8E4-DFE8F03E8757}" name="Financial Key Figures" dataDxfId="36"/>
    <tableColumn id="2" xr3:uid="{534EAB19-7E33-4043-86EF-F54057E2D7AC}" name="2025A" dataDxfId="35"/>
    <tableColumn id="3" xr3:uid="{33C75D2D-D9E0-304E-8CA0-5F1F7E36B988}" name="2026E" dataDxfId="34"/>
    <tableColumn id="4" xr3:uid="{2262085F-A0B0-BA4D-89EF-C32C1F8EA9BD}" name="2027E" dataDxfId="33"/>
    <tableColumn id="5" xr3:uid="{9B712439-66A6-C646-B4DB-6A4713C9D434}" name="2028E" dataDxfId="32"/>
    <tableColumn id="6" xr3:uid="{9175F55F-A6D0-7741-9149-65CD007D80D3}" name="2029E" dataDxfId="31"/>
    <tableColumn id="7" xr3:uid="{DD60232B-33BD-2946-BE6D-C9D0072701A9}" name="Notes" dataDxfId="3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58112E-D5AD-ED4C-BA56-32ADE6919A64}" name="Profit_and_Loss" displayName="Profit_and_Loss" ref="A2:G14" totalsRowShown="0" headerRowDxfId="29" dataDxfId="27" headerRowBorderDxfId="28" tableBorderDxfId="26" totalsRowBorderDxfId="25">
  <autoFilter ref="A2:G14" xr:uid="{DB58112E-D5AD-ED4C-BA56-32ADE6919A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9EA8B97-661D-3E42-95F6-6AE6318AE1B2}" name="Financial Key Figures" dataDxfId="24"/>
    <tableColumn id="2" xr3:uid="{4978A6B3-6001-D049-BA4A-CF5274577D41}" name="2025A" dataDxfId="23"/>
    <tableColumn id="3" xr3:uid="{A0CE977F-90E8-F044-AA3D-88C44C2F455A}" name="2026E" dataDxfId="22" dataCellStyle="Comma">
      <calculatedColumnFormula>Profit_and_Loss[[#This Row],[2025A]]*(1+'Assumptions '!C5)</calculatedColumnFormula>
    </tableColumn>
    <tableColumn id="4" xr3:uid="{122D8E75-11EF-9D49-97D5-C9624DBA7656}" name="2027E" dataDxfId="21"/>
    <tableColumn id="5" xr3:uid="{D6D75BE7-9961-3745-8760-906EBE2E30B4}" name="2028E" dataDxfId="20"/>
    <tableColumn id="6" xr3:uid="{9A34F4CC-6B6C-4A4F-8B8B-9CA0A8F75CF7}" name="2029E" dataDxfId="19"/>
    <tableColumn id="7" xr3:uid="{A66C4834-D512-DF48-B220-88A74074BC9E}" name="Notes" dataDxfId="1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CFBBE7-7A9C-6745-8234-ACC359EBC2D6}" name="Cash_Flow" displayName="Cash_Flow" ref="A2:G11" totalsRowShown="0" headerRowDxfId="17" dataDxfId="16">
  <autoFilter ref="A2:G11" xr:uid="{68CFBBE7-7A9C-6745-8234-ACC359EBC2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0B0A1F6-07B5-F948-8F60-5C0DD79A7267}" name="Financial Key Figures" dataDxfId="15"/>
    <tableColumn id="2" xr3:uid="{E0CA1A2F-358A-5045-BEC1-8553188FE263}" name="2025A" dataDxfId="14">
      <calculatedColumnFormula>'P&amp;L'!B11</calculatedColumnFormula>
    </tableColumn>
    <tableColumn id="3" xr3:uid="{731DF7A0-7802-D241-B1F5-2D48EB4B0117}" name="2026E" dataDxfId="13" dataCellStyle="Comma">
      <calculatedColumnFormula>'P&amp;L'!C11</calculatedColumnFormula>
    </tableColumn>
    <tableColumn id="4" xr3:uid="{EB1EFB6A-F8BA-A042-88EF-6DC3021223E8}" name="2027E" dataDxfId="12" dataCellStyle="Comma"/>
    <tableColumn id="5" xr3:uid="{B9CEB435-FD75-6240-AA53-F0DC0A9A3E0B}" name="2028E" dataDxfId="11" dataCellStyle="Comma"/>
    <tableColumn id="6" xr3:uid="{B2E224C0-3BA9-DE46-9886-E009D17418F3}" name="2029E" dataDxfId="10" dataCellStyle="Comma"/>
    <tableColumn id="7" xr3:uid="{FBEFE758-EA64-E64F-A165-766A159825FF}" name="Notes" dataDxfId="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B469E6-1EF2-E742-A263-C118C49B80D1}" name="DCF" displayName="DCF" ref="A2:G12" totalsRowShown="0" headerRowDxfId="8" dataDxfId="7">
  <autoFilter ref="A2:G12" xr:uid="{6CB469E6-1EF2-E742-A263-C118C49B80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A4EDD90-DC74-5248-8CBB-BB73B0882A70}" name="Financial Key Figures" dataDxfId="6"/>
    <tableColumn id="2" xr3:uid="{23D1B824-B860-614F-B4C5-CEC860ADB513}" name="2026E" dataDxfId="5">
      <calculatedColumnFormula>'Cash Flow'!C11</calculatedColumnFormula>
    </tableColumn>
    <tableColumn id="3" xr3:uid="{4369068F-B64A-154D-9DFA-BD8A20381835}" name="2027E" dataDxfId="4"/>
    <tableColumn id="4" xr3:uid="{F54A7C60-1C16-544D-9F92-CD5B447A66E7}" name="2028E" dataDxfId="3"/>
    <tableColumn id="5" xr3:uid="{0E790327-8EEC-8644-886D-424103761A1E}" name="2029E" dataDxfId="2"/>
    <tableColumn id="7" xr3:uid="{23FD4E61-8DC6-3E4A-A151-5E7B6AC8A6DA}" name="Value " dataDxfId="1"/>
    <tableColumn id="6" xr3:uid="{42472D80-45A7-EE4F-B1C7-E5F1A5AE967E}" name="Not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DE62-6E5B-2847-96ED-6414FBF13B21}">
  <dimension ref="A1:F17"/>
  <sheetViews>
    <sheetView tabSelected="1" workbookViewId="0">
      <selection sqref="A1:E1"/>
    </sheetView>
  </sheetViews>
  <sheetFormatPr baseColWidth="10" defaultRowHeight="16" x14ac:dyDescent="0.2"/>
  <cols>
    <col min="1" max="1" width="27.83203125" customWidth="1"/>
    <col min="2" max="4" width="11" customWidth="1"/>
    <col min="5" max="5" width="36.1640625" customWidth="1"/>
    <col min="6" max="6" width="16.5" customWidth="1"/>
  </cols>
  <sheetData>
    <row r="1" spans="1:6" x14ac:dyDescent="0.2">
      <c r="A1" s="25" t="s">
        <v>104</v>
      </c>
      <c r="B1" s="25"/>
      <c r="C1" s="25"/>
      <c r="D1" s="25"/>
      <c r="E1" s="25"/>
    </row>
    <row r="2" spans="1:6" x14ac:dyDescent="0.2">
      <c r="A2" s="9" t="s">
        <v>50</v>
      </c>
      <c r="B2" s="10" t="s">
        <v>2</v>
      </c>
      <c r="C2" s="10" t="s">
        <v>1</v>
      </c>
      <c r="D2" s="10" t="s">
        <v>0</v>
      </c>
      <c r="E2" s="11" t="s">
        <v>13</v>
      </c>
    </row>
    <row r="3" spans="1:6" x14ac:dyDescent="0.2">
      <c r="A3" s="12" t="s">
        <v>58</v>
      </c>
      <c r="B3" s="14">
        <v>15382</v>
      </c>
      <c r="C3" s="14">
        <v>17295</v>
      </c>
      <c r="D3" s="14">
        <v>18822</v>
      </c>
      <c r="E3" s="13" t="s">
        <v>64</v>
      </c>
      <c r="F3" s="26" t="s">
        <v>61</v>
      </c>
    </row>
    <row r="4" spans="1:6" x14ac:dyDescent="0.2">
      <c r="A4" s="12" t="s">
        <v>37</v>
      </c>
      <c r="B4" s="14">
        <v>14099</v>
      </c>
      <c r="C4" s="14">
        <v>15238</v>
      </c>
      <c r="D4" s="14">
        <v>16325</v>
      </c>
      <c r="E4" s="13" t="s">
        <v>65</v>
      </c>
      <c r="F4" s="26"/>
    </row>
    <row r="5" spans="1:6" x14ac:dyDescent="0.2">
      <c r="A5" s="12" t="s">
        <v>7</v>
      </c>
      <c r="B5" s="14">
        <f>B3-B4</f>
        <v>1283</v>
      </c>
      <c r="C5" s="14">
        <f>C3-C4</f>
        <v>2057</v>
      </c>
      <c r="D5" s="14">
        <f>D3-D4</f>
        <v>2497</v>
      </c>
      <c r="E5" s="13" t="s">
        <v>44</v>
      </c>
      <c r="F5" s="26"/>
    </row>
    <row r="6" spans="1:6" x14ac:dyDescent="0.2">
      <c r="A6" s="12"/>
      <c r="B6" s="6"/>
      <c r="C6" s="6"/>
      <c r="D6" s="6"/>
      <c r="E6" s="13"/>
    </row>
    <row r="7" spans="1:6" x14ac:dyDescent="0.2">
      <c r="A7" s="12" t="s">
        <v>59</v>
      </c>
      <c r="B7" s="14">
        <f>B5-B8</f>
        <v>194</v>
      </c>
      <c r="C7" s="14">
        <f>C5-C8</f>
        <v>452</v>
      </c>
      <c r="D7" s="14">
        <f>D5-D8</f>
        <v>444</v>
      </c>
      <c r="E7" s="13" t="s">
        <v>66</v>
      </c>
      <c r="F7" s="26" t="s">
        <v>62</v>
      </c>
    </row>
    <row r="8" spans="1:6" x14ac:dyDescent="0.2">
      <c r="A8" s="12" t="s">
        <v>3</v>
      </c>
      <c r="B8" s="14">
        <v>1089</v>
      </c>
      <c r="C8" s="14">
        <v>1605</v>
      </c>
      <c r="D8" s="14">
        <v>2053</v>
      </c>
      <c r="E8" s="13" t="s">
        <v>67</v>
      </c>
      <c r="F8" s="26"/>
    </row>
    <row r="9" spans="1:6" x14ac:dyDescent="0.2">
      <c r="A9" s="12"/>
      <c r="B9" s="6"/>
      <c r="C9" s="6"/>
      <c r="D9" s="6"/>
      <c r="E9" s="13"/>
      <c r="F9" s="26"/>
    </row>
    <row r="10" spans="1:6" x14ac:dyDescent="0.2">
      <c r="A10" s="12" t="s">
        <v>40</v>
      </c>
      <c r="B10" s="14">
        <f>B8-B11</f>
        <v>797</v>
      </c>
      <c r="C10" s="14">
        <f>C8-C11</f>
        <v>811</v>
      </c>
      <c r="D10" s="14">
        <f>D8-D11</f>
        <v>1038</v>
      </c>
      <c r="E10" s="13"/>
      <c r="F10" s="26"/>
    </row>
    <row r="11" spans="1:6" x14ac:dyDescent="0.2">
      <c r="A11" s="12" t="s">
        <v>41</v>
      </c>
      <c r="B11" s="6">
        <v>292</v>
      </c>
      <c r="C11" s="6">
        <v>794</v>
      </c>
      <c r="D11" s="14">
        <v>1015</v>
      </c>
      <c r="E11" s="13" t="s">
        <v>68</v>
      </c>
      <c r="F11" s="26"/>
    </row>
    <row r="12" spans="1:6" x14ac:dyDescent="0.2">
      <c r="A12" s="12"/>
      <c r="B12" s="6"/>
      <c r="C12" s="6"/>
      <c r="D12" s="6"/>
      <c r="E12" s="13"/>
      <c r="F12" s="26"/>
    </row>
    <row r="13" spans="1:6" x14ac:dyDescent="0.2">
      <c r="A13" s="12" t="s">
        <v>42</v>
      </c>
      <c r="B13" s="6">
        <v>214</v>
      </c>
      <c r="C13" s="6">
        <v>300</v>
      </c>
      <c r="D13" s="6">
        <v>259</v>
      </c>
      <c r="E13" s="13" t="s">
        <v>69</v>
      </c>
      <c r="F13" s="26"/>
    </row>
    <row r="14" spans="1:6" x14ac:dyDescent="0.2">
      <c r="A14" s="12" t="s">
        <v>60</v>
      </c>
      <c r="B14" s="6">
        <v>78</v>
      </c>
      <c r="C14" s="6">
        <v>494</v>
      </c>
      <c r="D14" s="6">
        <v>780</v>
      </c>
      <c r="E14" s="13" t="s">
        <v>70</v>
      </c>
      <c r="F14" s="26"/>
    </row>
    <row r="15" spans="1:6" x14ac:dyDescent="0.2">
      <c r="A15" s="12"/>
      <c r="B15" s="6"/>
      <c r="C15" s="6"/>
      <c r="D15" s="6"/>
      <c r="E15" s="13"/>
    </row>
    <row r="16" spans="1:6" x14ac:dyDescent="0.2">
      <c r="A16" s="12" t="s">
        <v>6</v>
      </c>
      <c r="B16" s="6">
        <v>457</v>
      </c>
      <c r="C16" s="6">
        <v>670</v>
      </c>
      <c r="D16" s="6">
        <v>821</v>
      </c>
      <c r="E16" s="13" t="s">
        <v>71</v>
      </c>
      <c r="F16" s="19" t="s">
        <v>63</v>
      </c>
    </row>
    <row r="17" spans="1:6" x14ac:dyDescent="0.2">
      <c r="A17" s="12" t="s">
        <v>93</v>
      </c>
      <c r="B17" s="6">
        <v>32</v>
      </c>
      <c r="C17" s="6">
        <v>809</v>
      </c>
      <c r="D17" s="14">
        <v>1174</v>
      </c>
      <c r="E17" s="13" t="s">
        <v>94</v>
      </c>
      <c r="F17" s="17" t="s">
        <v>95</v>
      </c>
    </row>
  </sheetData>
  <mergeCells count="3">
    <mergeCell ref="A1:E1"/>
    <mergeCell ref="F3:F5"/>
    <mergeCell ref="F7:F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F443-56E6-4C4D-B8E1-1FBAC97599CD}">
  <dimension ref="A1:H17"/>
  <sheetViews>
    <sheetView workbookViewId="0">
      <selection sqref="A1:G1"/>
    </sheetView>
  </sheetViews>
  <sheetFormatPr baseColWidth="10" defaultRowHeight="16" x14ac:dyDescent="0.2"/>
  <cols>
    <col min="1" max="1" width="28.1640625" customWidth="1"/>
    <col min="2" max="6" width="11" customWidth="1"/>
    <col min="7" max="7" width="61.6640625" customWidth="1"/>
    <col min="8" max="8" width="21.33203125" customWidth="1"/>
  </cols>
  <sheetData>
    <row r="1" spans="1:8" x14ac:dyDescent="0.2">
      <c r="A1" s="30" t="s">
        <v>105</v>
      </c>
      <c r="B1" s="30"/>
      <c r="C1" s="30"/>
      <c r="D1" s="30"/>
      <c r="E1" s="30"/>
      <c r="F1" s="30"/>
      <c r="G1" s="31"/>
    </row>
    <row r="2" spans="1:8" x14ac:dyDescent="0.2">
      <c r="A2" s="4" t="s">
        <v>50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8" x14ac:dyDescent="0.2">
      <c r="A3" s="6" t="s">
        <v>21</v>
      </c>
      <c r="B3" s="2">
        <v>14537</v>
      </c>
      <c r="C3" s="2">
        <v>15200</v>
      </c>
      <c r="D3" s="2">
        <v>16000</v>
      </c>
      <c r="E3" s="2">
        <v>16800</v>
      </c>
      <c r="F3" s="2">
        <v>17500</v>
      </c>
      <c r="G3" s="6" t="s">
        <v>30</v>
      </c>
      <c r="H3" s="27" t="s">
        <v>23</v>
      </c>
    </row>
    <row r="4" spans="1:8" x14ac:dyDescent="0.2">
      <c r="A4" s="6" t="s">
        <v>22</v>
      </c>
      <c r="B4" s="7">
        <f>Historical!D3/'Assumptions '!B3</f>
        <v>1.2947650822040311</v>
      </c>
      <c r="C4" s="7">
        <v>1.3</v>
      </c>
      <c r="D4" s="1">
        <v>1.31</v>
      </c>
      <c r="E4" s="1">
        <v>1.32</v>
      </c>
      <c r="F4" s="1">
        <v>1.33</v>
      </c>
      <c r="G4" s="6" t="s">
        <v>72</v>
      </c>
      <c r="H4" s="27"/>
    </row>
    <row r="5" spans="1:8" x14ac:dyDescent="0.2">
      <c r="A5" s="6" t="s">
        <v>14</v>
      </c>
      <c r="B5" s="8">
        <f>(Historical!D3-Historical!C3)/Historical!C3</f>
        <v>8.8291413703382476E-2</v>
      </c>
      <c r="C5" s="8">
        <v>0.05</v>
      </c>
      <c r="D5" s="8">
        <v>6.0999999999999999E-2</v>
      </c>
      <c r="E5" s="8">
        <v>5.8000000000000003E-2</v>
      </c>
      <c r="F5" s="8">
        <v>0.05</v>
      </c>
      <c r="G5" s="6" t="s">
        <v>73</v>
      </c>
      <c r="H5" s="27"/>
    </row>
    <row r="6" spans="1:8" x14ac:dyDescent="0.2">
      <c r="A6" s="6" t="s">
        <v>15</v>
      </c>
      <c r="B6" s="3">
        <f>Historical!D5/Historical!D3</f>
        <v>0.13266390394219529</v>
      </c>
      <c r="C6" s="8">
        <v>0.13800000000000001</v>
      </c>
      <c r="D6" s="8">
        <v>0.14299999999999999</v>
      </c>
      <c r="E6" s="8">
        <v>0.14799999999999999</v>
      </c>
      <c r="F6" s="8">
        <v>0.152</v>
      </c>
      <c r="G6" s="6" t="s">
        <v>31</v>
      </c>
      <c r="H6" s="27" t="s">
        <v>24</v>
      </c>
    </row>
    <row r="7" spans="1:8" x14ac:dyDescent="0.2">
      <c r="A7" s="6" t="s">
        <v>25</v>
      </c>
      <c r="B7" s="8">
        <f>Historical[[#This Row],[2025]]/Historical!D3</f>
        <v>2.3589416640102008E-2</v>
      </c>
      <c r="C7" s="8">
        <v>2.3E-2</v>
      </c>
      <c r="D7" s="8">
        <v>2.1999999999999999E-2</v>
      </c>
      <c r="E7" s="8">
        <v>2.1000000000000001E-2</v>
      </c>
      <c r="F7" s="8">
        <v>0.02</v>
      </c>
      <c r="G7" s="6" t="s">
        <v>74</v>
      </c>
      <c r="H7" s="27"/>
    </row>
    <row r="8" spans="1:8" x14ac:dyDescent="0.2">
      <c r="A8" s="6" t="s">
        <v>16</v>
      </c>
      <c r="B8" s="8">
        <f>Historical!D10/Historical!D3</f>
        <v>5.5148230793751994E-2</v>
      </c>
      <c r="C8" s="8">
        <v>5.3999999999999999E-2</v>
      </c>
      <c r="D8" s="8">
        <v>5.2999999999999999E-2</v>
      </c>
      <c r="E8" s="8">
        <v>5.1999999999999998E-2</v>
      </c>
      <c r="F8" s="8">
        <v>5.0999999999999997E-2</v>
      </c>
      <c r="G8" s="6" t="s">
        <v>29</v>
      </c>
      <c r="H8" s="27"/>
    </row>
    <row r="9" spans="1:8" x14ac:dyDescent="0.2">
      <c r="A9" s="6" t="s">
        <v>17</v>
      </c>
      <c r="B9" s="8">
        <v>-4.41E-2</v>
      </c>
      <c r="C9" s="8">
        <v>-0.04</v>
      </c>
      <c r="D9" s="8">
        <v>-3.5000000000000003E-2</v>
      </c>
      <c r="E9" s="8">
        <v>-0.03</v>
      </c>
      <c r="F9" s="8">
        <v>-2.5000000000000001E-2</v>
      </c>
      <c r="G9" s="6" t="s">
        <v>32</v>
      </c>
      <c r="H9" s="28" t="s">
        <v>26</v>
      </c>
    </row>
    <row r="10" spans="1:8" x14ac:dyDescent="0.2">
      <c r="A10" s="6" t="s">
        <v>56</v>
      </c>
      <c r="B10" s="8">
        <f>Historical!D16/Historical!D3</f>
        <v>4.3619169057485918E-2</v>
      </c>
      <c r="C10" s="8">
        <v>4.4999999999999998E-2</v>
      </c>
      <c r="D10" s="8">
        <v>4.3999999999999997E-2</v>
      </c>
      <c r="E10" s="8">
        <v>4.2999999999999997E-2</v>
      </c>
      <c r="F10" s="8">
        <v>4.2000000000000003E-2</v>
      </c>
      <c r="G10" s="6" t="s">
        <v>57</v>
      </c>
      <c r="H10" s="29"/>
    </row>
    <row r="11" spans="1:8" x14ac:dyDescent="0.2">
      <c r="A11" s="6" t="s">
        <v>18</v>
      </c>
      <c r="B11" s="8">
        <f>Historical!D13/(Historical!D13+Historical!D14)</f>
        <v>0.2492781520692974</v>
      </c>
      <c r="C11" s="3">
        <v>0.25</v>
      </c>
      <c r="D11" s="3">
        <v>0.25</v>
      </c>
      <c r="E11" s="3">
        <v>0.25</v>
      </c>
      <c r="F11" s="3">
        <v>0.25</v>
      </c>
      <c r="G11" s="6" t="s">
        <v>33</v>
      </c>
      <c r="H11" s="5" t="s">
        <v>27</v>
      </c>
    </row>
    <row r="12" spans="1:8" x14ac:dyDescent="0.2">
      <c r="A12" s="6" t="s">
        <v>19</v>
      </c>
      <c r="B12" s="24">
        <v>0.08</v>
      </c>
      <c r="C12" s="3">
        <v>0.08</v>
      </c>
      <c r="D12" s="3">
        <v>0.08</v>
      </c>
      <c r="E12" s="3">
        <v>0.08</v>
      </c>
      <c r="F12" s="3">
        <v>0.08</v>
      </c>
      <c r="G12" s="6" t="s">
        <v>34</v>
      </c>
      <c r="H12" s="27" t="s">
        <v>28</v>
      </c>
    </row>
    <row r="13" spans="1:8" x14ac:dyDescent="0.2">
      <c r="A13" s="6" t="s">
        <v>20</v>
      </c>
      <c r="B13" s="24">
        <v>0.02</v>
      </c>
      <c r="C13" s="3">
        <v>0.02</v>
      </c>
      <c r="D13" s="3">
        <v>0.02</v>
      </c>
      <c r="E13" s="3">
        <v>0.02</v>
      </c>
      <c r="F13" s="3">
        <v>0.02</v>
      </c>
      <c r="G13" s="6" t="s">
        <v>35</v>
      </c>
      <c r="H13" s="27"/>
    </row>
    <row r="16" spans="1:8" x14ac:dyDescent="0.2">
      <c r="A16" s="20"/>
    </row>
    <row r="17" spans="1:1" x14ac:dyDescent="0.2">
      <c r="A17" s="20"/>
    </row>
  </sheetData>
  <mergeCells count="5">
    <mergeCell ref="H12:H13"/>
    <mergeCell ref="H9:H10"/>
    <mergeCell ref="A1:G1"/>
    <mergeCell ref="H3:H5"/>
    <mergeCell ref="H6:H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E88C-C7AD-9F42-AACD-1AEB44D619B5}">
  <dimension ref="A1:G14"/>
  <sheetViews>
    <sheetView workbookViewId="0">
      <selection sqref="A1:G1"/>
    </sheetView>
  </sheetViews>
  <sheetFormatPr baseColWidth="10" defaultRowHeight="16" x14ac:dyDescent="0.2"/>
  <cols>
    <col min="1" max="1" width="29.1640625" customWidth="1"/>
    <col min="2" max="6" width="11" customWidth="1"/>
    <col min="7" max="7" width="62.83203125" customWidth="1"/>
  </cols>
  <sheetData>
    <row r="1" spans="1:7" x14ac:dyDescent="0.2">
      <c r="A1" s="25" t="s">
        <v>106</v>
      </c>
      <c r="B1" s="25"/>
      <c r="C1" s="25"/>
      <c r="D1" s="25"/>
      <c r="E1" s="25"/>
      <c r="F1" s="25"/>
      <c r="G1" s="25"/>
    </row>
    <row r="2" spans="1:7" x14ac:dyDescent="0.2">
      <c r="A2" s="9" t="s">
        <v>50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1" t="s">
        <v>13</v>
      </c>
    </row>
    <row r="3" spans="1:7" x14ac:dyDescent="0.2">
      <c r="A3" s="12" t="s">
        <v>36</v>
      </c>
      <c r="B3" s="14">
        <f>Historical[[#This Row],[2025]]</f>
        <v>18822</v>
      </c>
      <c r="C3" s="16">
        <f>Assumptions[[#This Row],[2026E]]*'Assumptions '!C4</f>
        <v>19760</v>
      </c>
      <c r="D3" s="16">
        <f>Assumptions[[#This Row],[2027E]]*'Assumptions '!D4</f>
        <v>20960</v>
      </c>
      <c r="E3" s="16">
        <f>Assumptions[[#This Row],[2028E]]*'Assumptions '!E4</f>
        <v>22176</v>
      </c>
      <c r="F3" s="16">
        <f>Assumptions[[#This Row],[2029E]]*'Assumptions '!F4</f>
        <v>23275</v>
      </c>
      <c r="G3" s="13" t="s">
        <v>76</v>
      </c>
    </row>
    <row r="4" spans="1:7" x14ac:dyDescent="0.2">
      <c r="A4" s="12" t="s">
        <v>37</v>
      </c>
      <c r="B4" s="14">
        <f>Historical[[#This Row],[2025]]</f>
        <v>16325</v>
      </c>
      <c r="C4" s="16">
        <f>C3*(1-'Assumptions '!C6)</f>
        <v>17033.12</v>
      </c>
      <c r="D4" s="16">
        <f>D3*(1-'Assumptions '!D6)</f>
        <v>17962.72</v>
      </c>
      <c r="E4" s="16">
        <f>E3*(1-'Assumptions '!E6)</f>
        <v>18893.952000000001</v>
      </c>
      <c r="F4" s="16">
        <f>F3*(1-'Assumptions '!F6)</f>
        <v>19737.2</v>
      </c>
      <c r="G4" s="13" t="s">
        <v>43</v>
      </c>
    </row>
    <row r="5" spans="1:7" x14ac:dyDescent="0.2">
      <c r="A5" s="12" t="s">
        <v>7</v>
      </c>
      <c r="B5" s="14">
        <f>Historical[[#This Row],[2025]]</f>
        <v>2497</v>
      </c>
      <c r="C5" s="16">
        <f>C3-C4</f>
        <v>2726.880000000001</v>
      </c>
      <c r="D5" s="16">
        <f t="shared" ref="D5:F5" si="0">D3-D4</f>
        <v>2997.2799999999988</v>
      </c>
      <c r="E5" s="16">
        <f t="shared" si="0"/>
        <v>3282.0479999999989</v>
      </c>
      <c r="F5" s="16">
        <f t="shared" si="0"/>
        <v>3537.7999999999993</v>
      </c>
      <c r="G5" s="13" t="s">
        <v>44</v>
      </c>
    </row>
    <row r="6" spans="1:7" x14ac:dyDescent="0.2">
      <c r="A6" s="12"/>
      <c r="B6" s="6"/>
      <c r="C6" s="16"/>
      <c r="D6" s="16"/>
      <c r="E6" s="16"/>
      <c r="F6" s="16"/>
      <c r="G6" s="13"/>
    </row>
    <row r="7" spans="1:7" x14ac:dyDescent="0.2">
      <c r="A7" s="12" t="s">
        <v>38</v>
      </c>
      <c r="B7" s="14">
        <f>Historical[[#This Row],[2025]]</f>
        <v>444</v>
      </c>
      <c r="C7" s="16">
        <f>C3*Assumptions[[#This Row],[2026E]]</f>
        <v>454.48</v>
      </c>
      <c r="D7" s="16">
        <f>D3*Assumptions[[#This Row],[2027E]]</f>
        <v>461.11999999999995</v>
      </c>
      <c r="E7" s="16">
        <f>E3*Assumptions[[#This Row],[2028E]]</f>
        <v>465.69600000000003</v>
      </c>
      <c r="F7" s="16">
        <f>F3*Assumptions[[#This Row],[2029E]]</f>
        <v>465.5</v>
      </c>
      <c r="G7" s="13" t="s">
        <v>45</v>
      </c>
    </row>
    <row r="8" spans="1:7" x14ac:dyDescent="0.2">
      <c r="A8" s="12" t="s">
        <v>39</v>
      </c>
      <c r="B8" s="14">
        <f>Historical[[#This Row],[2025]]</f>
        <v>2053</v>
      </c>
      <c r="C8" s="16">
        <f>C5-C7</f>
        <v>2272.400000000001</v>
      </c>
      <c r="D8" s="16">
        <f t="shared" ref="D8:F8" si="1">D5-D7</f>
        <v>2536.1599999999989</v>
      </c>
      <c r="E8" s="16">
        <f t="shared" si="1"/>
        <v>2816.351999999999</v>
      </c>
      <c r="F8" s="16">
        <f t="shared" si="1"/>
        <v>3072.2999999999993</v>
      </c>
      <c r="G8" s="13" t="s">
        <v>46</v>
      </c>
    </row>
    <row r="9" spans="1:7" x14ac:dyDescent="0.2">
      <c r="A9" s="12"/>
      <c r="B9" s="6"/>
      <c r="C9" s="16"/>
      <c r="D9" s="16"/>
      <c r="E9" s="16"/>
      <c r="F9" s="16"/>
      <c r="G9" s="13"/>
    </row>
    <row r="10" spans="1:7" x14ac:dyDescent="0.2">
      <c r="A10" s="12" t="s">
        <v>40</v>
      </c>
      <c r="B10" s="14">
        <f>Historical[[#This Row],[2025]]</f>
        <v>1038</v>
      </c>
      <c r="C10" s="16">
        <f>C3*'Assumptions '!C8</f>
        <v>1067.04</v>
      </c>
      <c r="D10" s="16">
        <f>D3*'Assumptions '!D8</f>
        <v>1110.8799999999999</v>
      </c>
      <c r="E10" s="16">
        <f>E3*'Assumptions '!E8</f>
        <v>1153.152</v>
      </c>
      <c r="F10" s="16">
        <f>F3*'Assumptions '!F8</f>
        <v>1187.0249999999999</v>
      </c>
      <c r="G10" s="13" t="s">
        <v>47</v>
      </c>
    </row>
    <row r="11" spans="1:7" x14ac:dyDescent="0.2">
      <c r="A11" s="12" t="s">
        <v>41</v>
      </c>
      <c r="B11" s="14">
        <f>Historical[[#This Row],[2025]]</f>
        <v>1015</v>
      </c>
      <c r="C11" s="16">
        <f>C8-C10</f>
        <v>1205.360000000001</v>
      </c>
      <c r="D11" s="16">
        <f t="shared" ref="D11:F11" si="2">D8-D10</f>
        <v>1425.2799999999991</v>
      </c>
      <c r="E11" s="16">
        <f t="shared" si="2"/>
        <v>1663.1999999999989</v>
      </c>
      <c r="F11" s="16">
        <f t="shared" si="2"/>
        <v>1885.2749999999994</v>
      </c>
      <c r="G11" s="13" t="s">
        <v>48</v>
      </c>
    </row>
    <row r="12" spans="1:7" x14ac:dyDescent="0.2">
      <c r="A12" s="12"/>
      <c r="B12" s="6"/>
      <c r="C12" s="16"/>
      <c r="D12" s="16"/>
      <c r="E12" s="16"/>
      <c r="F12" s="16"/>
      <c r="G12" s="13"/>
    </row>
    <row r="13" spans="1:7" x14ac:dyDescent="0.2">
      <c r="A13" s="12" t="s">
        <v>42</v>
      </c>
      <c r="B13" s="14">
        <f>Historical[[#This Row],[2025]]</f>
        <v>259</v>
      </c>
      <c r="C13" s="16">
        <f>C11*'Assumptions '!C11</f>
        <v>301.34000000000026</v>
      </c>
      <c r="D13" s="16">
        <f>D11*'Assumptions '!D11</f>
        <v>356.31999999999977</v>
      </c>
      <c r="E13" s="16">
        <f>E11*'Assumptions '!E11</f>
        <v>415.79999999999973</v>
      </c>
      <c r="F13" s="16">
        <f>F11*'Assumptions '!F11</f>
        <v>471.31874999999985</v>
      </c>
      <c r="G13" s="13" t="s">
        <v>75</v>
      </c>
    </row>
    <row r="14" spans="1:7" x14ac:dyDescent="0.2">
      <c r="A14" s="12" t="s">
        <v>5</v>
      </c>
      <c r="B14" s="6">
        <f>Historical[[#This Row],[2025]]</f>
        <v>780</v>
      </c>
      <c r="C14" s="16">
        <f>C11-C13</f>
        <v>904.02000000000078</v>
      </c>
      <c r="D14" s="16">
        <f t="shared" ref="D14:F14" si="3">D11-D13</f>
        <v>1068.9599999999994</v>
      </c>
      <c r="E14" s="16">
        <f t="shared" si="3"/>
        <v>1247.3999999999992</v>
      </c>
      <c r="F14" s="16">
        <f t="shared" si="3"/>
        <v>1413.9562499999995</v>
      </c>
      <c r="G14" s="13" t="s">
        <v>49</v>
      </c>
    </row>
  </sheetData>
  <mergeCells count="1">
    <mergeCell ref="A1:G1"/>
  </mergeCells>
  <pageMargins left="0.7" right="0.7" top="0.75" bottom="0.75" header="0.3" footer="0.3"/>
  <ignoredErrors>
    <ignoredError sqref="C3 C4:C14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E31C-FBFC-3048-976D-3DB3E9EC9CE1}">
  <dimension ref="A1:G11"/>
  <sheetViews>
    <sheetView workbookViewId="0">
      <selection sqref="A1:G1"/>
    </sheetView>
  </sheetViews>
  <sheetFormatPr baseColWidth="10" defaultRowHeight="16" x14ac:dyDescent="0.2"/>
  <cols>
    <col min="1" max="1" width="28" customWidth="1"/>
    <col min="2" max="6" width="11" customWidth="1"/>
    <col min="7" max="7" width="30.83203125" customWidth="1"/>
  </cols>
  <sheetData>
    <row r="1" spans="1:7" x14ac:dyDescent="0.2">
      <c r="A1" s="25" t="s">
        <v>107</v>
      </c>
      <c r="B1" s="25"/>
      <c r="C1" s="25"/>
      <c r="D1" s="25"/>
      <c r="E1" s="25"/>
      <c r="F1" s="25"/>
      <c r="G1" s="25"/>
    </row>
    <row r="2" spans="1:7" x14ac:dyDescent="0.2">
      <c r="A2" s="4" t="s">
        <v>50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">
      <c r="A3" s="6" t="s">
        <v>4</v>
      </c>
      <c r="B3" s="14">
        <f>'P&amp;L'!B11</f>
        <v>1015</v>
      </c>
      <c r="C3" s="15">
        <f>'P&amp;L'!C11</f>
        <v>1205.360000000001</v>
      </c>
      <c r="D3" s="15">
        <f>'P&amp;L'!D11</f>
        <v>1425.2799999999991</v>
      </c>
      <c r="E3" s="15">
        <f>'P&amp;L'!E11</f>
        <v>1663.1999999999989</v>
      </c>
      <c r="F3" s="15">
        <f>'P&amp;L'!F11</f>
        <v>1885.2749999999994</v>
      </c>
      <c r="G3" s="6" t="s">
        <v>77</v>
      </c>
    </row>
    <row r="4" spans="1:7" x14ac:dyDescent="0.2">
      <c r="A4" s="6" t="s">
        <v>51</v>
      </c>
      <c r="B4" s="14">
        <f>'P&amp;L'!B13</f>
        <v>259</v>
      </c>
      <c r="C4" s="15">
        <f>'P&amp;L'!C13</f>
        <v>301.34000000000026</v>
      </c>
      <c r="D4" s="15">
        <f>'P&amp;L'!D13</f>
        <v>356.31999999999977</v>
      </c>
      <c r="E4" s="15">
        <f>'P&amp;L'!E13</f>
        <v>415.79999999999973</v>
      </c>
      <c r="F4" s="15">
        <f>'P&amp;L'!F13</f>
        <v>471.31874999999985</v>
      </c>
      <c r="G4" s="6" t="s">
        <v>83</v>
      </c>
    </row>
    <row r="5" spans="1:7" x14ac:dyDescent="0.2">
      <c r="A5" s="6" t="s">
        <v>52</v>
      </c>
      <c r="B5" s="14">
        <f>B3-B4</f>
        <v>756</v>
      </c>
      <c r="C5" s="15">
        <f>C3-C4</f>
        <v>904.02000000000078</v>
      </c>
      <c r="D5" s="15">
        <f t="shared" ref="D5:F5" si="0">D3-D4</f>
        <v>1068.9599999999994</v>
      </c>
      <c r="E5" s="15">
        <f t="shared" si="0"/>
        <v>1247.3999999999992</v>
      </c>
      <c r="F5" s="15">
        <f t="shared" si="0"/>
        <v>1413.9562499999995</v>
      </c>
      <c r="G5" s="6" t="s">
        <v>78</v>
      </c>
    </row>
    <row r="6" spans="1:7" x14ac:dyDescent="0.2">
      <c r="A6" s="6"/>
      <c r="B6" s="14"/>
      <c r="C6" s="15"/>
      <c r="D6" s="15"/>
      <c r="E6" s="15"/>
      <c r="F6" s="15"/>
      <c r="G6" s="6"/>
    </row>
    <row r="7" spans="1:7" x14ac:dyDescent="0.2">
      <c r="A7" s="6" t="s">
        <v>53</v>
      </c>
      <c r="B7" s="14">
        <f>'P&amp;L'!B10</f>
        <v>1038</v>
      </c>
      <c r="C7" s="15">
        <f>'P&amp;L'!C10</f>
        <v>1067.04</v>
      </c>
      <c r="D7" s="15">
        <f>'P&amp;L'!D10</f>
        <v>1110.8799999999999</v>
      </c>
      <c r="E7" s="15">
        <f>'P&amp;L'!E10</f>
        <v>1153.152</v>
      </c>
      <c r="F7" s="15">
        <f>'P&amp;L'!F10</f>
        <v>1187.0249999999999</v>
      </c>
      <c r="G7" s="6" t="s">
        <v>79</v>
      </c>
    </row>
    <row r="8" spans="1:7" x14ac:dyDescent="0.2">
      <c r="A8" s="6" t="s">
        <v>6</v>
      </c>
      <c r="B8" s="14">
        <f>Historical!D16</f>
        <v>821</v>
      </c>
      <c r="C8" s="15">
        <f>'P&amp;L'!C3*'Assumptions '!C10</f>
        <v>889.19999999999993</v>
      </c>
      <c r="D8" s="15">
        <f>'P&amp;L'!D3*'Assumptions '!D10</f>
        <v>922.2399999999999</v>
      </c>
      <c r="E8" s="15">
        <f>'P&amp;L'!E3*'Assumptions '!E10</f>
        <v>953.56799999999987</v>
      </c>
      <c r="F8" s="15">
        <f>'P&amp;L'!F3*'Assumptions '!F10</f>
        <v>977.55000000000007</v>
      </c>
      <c r="G8" s="6" t="s">
        <v>80</v>
      </c>
    </row>
    <row r="9" spans="1:7" x14ac:dyDescent="0.2">
      <c r="A9" s="6" t="s">
        <v>54</v>
      </c>
      <c r="B9" s="14">
        <f>ABS('P&amp;L'!B3*Assumptions[[#This Row],[2025A]])</f>
        <v>830.05020000000002</v>
      </c>
      <c r="C9" s="15">
        <f>ABS('P&amp;L'!C3*Assumptions[[#This Row],[2026E]])</f>
        <v>790.4</v>
      </c>
      <c r="D9" s="15">
        <f>ABS('P&amp;L'!D3*Assumptions[[#This Row],[2027E]])</f>
        <v>733.6</v>
      </c>
      <c r="E9" s="15">
        <f>ABS('P&amp;L'!E3*Assumptions[[#This Row],[2028E]])</f>
        <v>665.28</v>
      </c>
      <c r="F9" s="15">
        <f>ABS('P&amp;L'!F3*Assumptions[[#This Row],[2029E]])</f>
        <v>581.875</v>
      </c>
      <c r="G9" s="6" t="s">
        <v>81</v>
      </c>
    </row>
    <row r="10" spans="1:7" x14ac:dyDescent="0.2">
      <c r="A10" s="6"/>
      <c r="B10" s="14"/>
      <c r="C10" s="15"/>
      <c r="D10" s="15"/>
      <c r="E10" s="15"/>
      <c r="F10" s="15"/>
      <c r="G10" s="6"/>
    </row>
    <row r="11" spans="1:7" x14ac:dyDescent="0.2">
      <c r="A11" s="6" t="s">
        <v>55</v>
      </c>
      <c r="B11" s="14">
        <f>B5+B7-B8-B9</f>
        <v>142.94979999999998</v>
      </c>
      <c r="C11" s="15">
        <f>C5+C7-C8-C9</f>
        <v>291.46000000000106</v>
      </c>
      <c r="D11" s="15">
        <f t="shared" ref="D11:F11" si="1">D5+D7-D8-D9</f>
        <v>523.99999999999943</v>
      </c>
      <c r="E11" s="15">
        <f t="shared" si="1"/>
        <v>781.7039999999995</v>
      </c>
      <c r="F11" s="15">
        <f t="shared" si="1"/>
        <v>1041.5562499999992</v>
      </c>
      <c r="G11" s="6" t="s">
        <v>82</v>
      </c>
    </row>
  </sheetData>
  <mergeCells count="1">
    <mergeCell ref="A1:G1"/>
  </mergeCells>
  <pageMargins left="0.7" right="0.7" top="0.75" bottom="0.75" header="0.3" footer="0.3"/>
  <ignoredErrors>
    <ignoredError sqref="C4:C11 B4:B11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DBA2-B22D-4A4D-B057-9A052C634EA5}">
  <dimension ref="A1:I22"/>
  <sheetViews>
    <sheetView workbookViewId="0">
      <selection sqref="A1:G1"/>
    </sheetView>
  </sheetViews>
  <sheetFormatPr baseColWidth="10" defaultRowHeight="16" x14ac:dyDescent="0.2"/>
  <cols>
    <col min="1" max="1" width="22.1640625" customWidth="1"/>
    <col min="2" max="6" width="11" customWidth="1"/>
    <col min="7" max="7" width="49" customWidth="1"/>
  </cols>
  <sheetData>
    <row r="1" spans="1:8" x14ac:dyDescent="0.2">
      <c r="A1" s="25" t="s">
        <v>108</v>
      </c>
      <c r="B1" s="25"/>
      <c r="C1" s="25"/>
      <c r="D1" s="25"/>
      <c r="E1" s="25"/>
      <c r="F1" s="25"/>
      <c r="G1" s="25"/>
    </row>
    <row r="2" spans="1:8" x14ac:dyDescent="0.2">
      <c r="A2" s="4" t="s">
        <v>50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92</v>
      </c>
      <c r="G2" s="4" t="s">
        <v>13</v>
      </c>
    </row>
    <row r="3" spans="1:8" x14ac:dyDescent="0.2">
      <c r="A3" s="6" t="s">
        <v>84</v>
      </c>
      <c r="B3" s="15">
        <f>'Cash Flow'!C11</f>
        <v>291.46000000000106</v>
      </c>
      <c r="C3" s="18">
        <f>'Cash Flow'!D11</f>
        <v>523.99999999999943</v>
      </c>
      <c r="D3" s="18">
        <f>'Cash Flow'!E11</f>
        <v>781.7039999999995</v>
      </c>
      <c r="E3" s="18">
        <f>'Cash Flow'!F11</f>
        <v>1041.5562499999992</v>
      </c>
      <c r="F3" s="6"/>
      <c r="G3" s="6" t="s">
        <v>96</v>
      </c>
    </row>
    <row r="4" spans="1:8" x14ac:dyDescent="0.2">
      <c r="A4" s="6" t="s">
        <v>85</v>
      </c>
      <c r="B4" s="18">
        <f>1/(1+'Assumptions '!B12)^(COLUMN()-COLUMN($B$2)+1)</f>
        <v>0.92592592592592582</v>
      </c>
      <c r="C4" s="18">
        <f>1/(1+'Assumptions '!C12)^(COLUMN()-COLUMN($B$2)+1)</f>
        <v>0.85733882030178321</v>
      </c>
      <c r="D4" s="18">
        <f>1/(1+'Assumptions '!D12)^(COLUMN()-COLUMN($B$2)+1)</f>
        <v>0.79383224102016958</v>
      </c>
      <c r="E4" s="18">
        <f>1/(1+'Assumptions '!E12)^(COLUMN()-COLUMN($B$2)+1)</f>
        <v>0.73502985279645328</v>
      </c>
      <c r="F4" s="6"/>
      <c r="G4" s="6" t="s">
        <v>97</v>
      </c>
    </row>
    <row r="5" spans="1:8" x14ac:dyDescent="0.2">
      <c r="A5" s="6" t="s">
        <v>86</v>
      </c>
      <c r="B5" s="18">
        <f>B3*B4</f>
        <v>269.87037037037135</v>
      </c>
      <c r="C5" s="18">
        <f t="shared" ref="C5:E5" si="0">C3*C4</f>
        <v>449.24554183813393</v>
      </c>
      <c r="D5" s="18">
        <f t="shared" si="0"/>
        <v>620.54183813443024</v>
      </c>
      <c r="E5" s="18">
        <f t="shared" si="0"/>
        <v>765.57493711672532</v>
      </c>
      <c r="F5" s="6"/>
      <c r="G5" s="6" t="s">
        <v>98</v>
      </c>
    </row>
    <row r="6" spans="1:8" x14ac:dyDescent="0.2">
      <c r="A6" s="6"/>
      <c r="B6" s="18"/>
      <c r="C6" s="6"/>
      <c r="D6" s="6"/>
      <c r="E6" s="6"/>
      <c r="F6" s="6"/>
      <c r="G6" s="6"/>
    </row>
    <row r="7" spans="1:8" x14ac:dyDescent="0.2">
      <c r="A7" s="6" t="s">
        <v>87</v>
      </c>
      <c r="B7" s="18"/>
      <c r="C7" s="6"/>
      <c r="D7" s="6"/>
      <c r="E7" s="18">
        <f>E3*(1+'Assumptions '!B13)/('Assumptions '!B12-'Assumptions '!B13)</f>
        <v>17706.456249999985</v>
      </c>
      <c r="F7" s="6"/>
      <c r="G7" s="6" t="s">
        <v>99</v>
      </c>
    </row>
    <row r="8" spans="1:8" x14ac:dyDescent="0.2">
      <c r="A8" s="6" t="s">
        <v>88</v>
      </c>
      <c r="B8" s="18"/>
      <c r="C8" s="6"/>
      <c r="D8" s="6"/>
      <c r="E8" s="15">
        <f>E7*E4</f>
        <v>13014.773930984329</v>
      </c>
      <c r="F8" s="6"/>
      <c r="G8" s="6" t="s">
        <v>100</v>
      </c>
    </row>
    <row r="9" spans="1:8" x14ac:dyDescent="0.2">
      <c r="A9" s="6"/>
      <c r="B9" s="18"/>
      <c r="C9" s="6"/>
      <c r="D9" s="6"/>
      <c r="E9" s="6"/>
      <c r="F9" s="6"/>
      <c r="G9" s="6"/>
    </row>
    <row r="10" spans="1:8" x14ac:dyDescent="0.2">
      <c r="A10" s="6" t="s">
        <v>89</v>
      </c>
      <c r="B10" s="18"/>
      <c r="C10" s="6"/>
      <c r="D10" s="6"/>
      <c r="E10" s="6"/>
      <c r="F10" s="18">
        <f>SUM(B5:E5)+E8</f>
        <v>15120.006618443989</v>
      </c>
      <c r="G10" s="6" t="s">
        <v>101</v>
      </c>
    </row>
    <row r="11" spans="1:8" x14ac:dyDescent="0.2">
      <c r="A11" s="6" t="s">
        <v>90</v>
      </c>
      <c r="B11" s="18"/>
      <c r="C11" s="6"/>
      <c r="D11" s="6"/>
      <c r="E11" s="6"/>
      <c r="F11" s="14">
        <f>Historical!D17</f>
        <v>1174</v>
      </c>
      <c r="G11" s="6" t="s">
        <v>102</v>
      </c>
    </row>
    <row r="12" spans="1:8" x14ac:dyDescent="0.2">
      <c r="A12" s="6" t="s">
        <v>91</v>
      </c>
      <c r="B12" s="18"/>
      <c r="C12" s="6"/>
      <c r="D12" s="6"/>
      <c r="E12" s="6"/>
      <c r="F12" s="18">
        <f>F10-F11</f>
        <v>13946.006618443989</v>
      </c>
      <c r="G12" s="6" t="s">
        <v>103</v>
      </c>
    </row>
    <row r="14" spans="1:8" x14ac:dyDescent="0.2">
      <c r="H14" s="23"/>
    </row>
    <row r="15" spans="1:8" x14ac:dyDescent="0.2">
      <c r="H15" s="23"/>
    </row>
    <row r="16" spans="1:8" x14ac:dyDescent="0.2">
      <c r="A16" s="4"/>
    </row>
    <row r="17" spans="1:9" x14ac:dyDescent="0.2">
      <c r="A17" s="4"/>
      <c r="B17" s="22"/>
      <c r="C17" s="22"/>
      <c r="D17" s="22"/>
      <c r="E17" s="22"/>
      <c r="F17" s="22"/>
    </row>
    <row r="18" spans="1:9" x14ac:dyDescent="0.2">
      <c r="A18" s="22"/>
      <c r="B18" s="21"/>
      <c r="E18" s="20"/>
      <c r="I18" s="20"/>
    </row>
    <row r="19" spans="1:9" x14ac:dyDescent="0.2">
      <c r="A19" s="22"/>
      <c r="E19" s="20"/>
      <c r="I19" s="20"/>
    </row>
    <row r="20" spans="1:9" x14ac:dyDescent="0.2">
      <c r="A20" s="22"/>
      <c r="D20" s="21"/>
    </row>
    <row r="21" spans="1:9" x14ac:dyDescent="0.2">
      <c r="A21" s="22"/>
    </row>
    <row r="22" spans="1:9" x14ac:dyDescent="0.2">
      <c r="A22" s="22"/>
    </row>
  </sheetData>
  <mergeCells count="1">
    <mergeCell ref="A1:G1"/>
  </mergeCells>
  <pageMargins left="0.7" right="0.7" top="0.75" bottom="0.75" header="0.3" footer="0.3"/>
  <ignoredErrors>
    <ignoredError sqref="B4:B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</vt:lpstr>
      <vt:lpstr>Assumptions </vt:lpstr>
      <vt:lpstr>P&amp;L</vt:lpstr>
      <vt:lpstr>Cash Flow</vt:lpstr>
      <vt:lpstr>DCF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nicolo' di lena</dc:creator>
  <cp:lastModifiedBy>nicolo' di lena</cp:lastModifiedBy>
  <dcterms:created xsi:type="dcterms:W3CDTF">2026-03-05T18:58:21Z</dcterms:created>
  <dcterms:modified xsi:type="dcterms:W3CDTF">2026-03-23T11:25:35Z</dcterms:modified>
</cp:coreProperties>
</file>